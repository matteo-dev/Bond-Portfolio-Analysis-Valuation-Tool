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cuments\ING4_S1\VBA for finance\Projet_VBA_Finance\Projet à rendre\"/>
    </mc:Choice>
  </mc:AlternateContent>
  <xr:revisionPtr revIDLastSave="0" documentId="13_ncr:1_{3D004F3D-7456-4901-A580-08AB927B9E6E}" xr6:coauthVersionLast="36" xr6:coauthVersionMax="36" xr10:uidLastSave="{00000000-0000-0000-0000-000000000000}"/>
  <bookViews>
    <workbookView xWindow="0" yWindow="0" windowWidth="12756" windowHeight="8292" xr2:uid="{D1B42C7A-8EB1-4DE1-98DA-1136D846FC62}"/>
  </bookViews>
  <sheets>
    <sheet name="Interface_Obligation" sheetId="1" r:id="rId1"/>
    <sheet name="Univers" sheetId="2" r:id="rId2"/>
    <sheet name="Dashboard_Obligation" sheetId="5" r:id="rId3"/>
    <sheet name="Portefeuille_Flux" sheetId="3" r:id="rId4"/>
    <sheet name="Piliers" sheetId="6" r:id="rId5"/>
    <sheet name="Rapport_FRCASA010233" sheetId="52" r:id="rId6"/>
    <sheet name="Rapport_BNPBOND010524" sheetId="53" r:id="rId7"/>
    <sheet name="Rapport_SOCGENBOND050627" sheetId="54" r:id="rId8"/>
    <sheet name="Rapport_CREDITAGR050826" sheetId="55" r:id="rId9"/>
    <sheet name="Rapport_RATP050430" sheetId="56" r:id="rId10"/>
    <sheet name="Rapport_EDF050527" sheetId="57" r:id="rId11"/>
    <sheet name="Rapport_AIRFRANCE050630" sheetId="58" r:id="rId12"/>
    <sheet name="Rapport_TOTAL050528" sheetId="59" r:id="rId13"/>
    <sheet name="Rapport_ORANGE050529" sheetId="60" r:id="rId14"/>
    <sheet name="Rapport_SNCF050532" sheetId="61" r:id="rId15"/>
    <sheet name="Rapport_AXABOND050631" sheetId="62" r:id="rId16"/>
    <sheet name="Rapport_SOCIETEGEN050623" sheetId="63" r:id="rId17"/>
    <sheet name="Rapport_ENGIE050634" sheetId="64" r:id="rId18"/>
    <sheet name="Rapport_CREDITLYON050635" sheetId="65" r:id="rId19"/>
    <sheet name="Rapport_BNPBOND050636" sheetId="66" r:id="rId20"/>
  </sheets>
  <definedNames>
    <definedName name="Convexite">Interface_Obligation!$I$8</definedName>
    <definedName name="ConvexiteV2">Tableau2[Convexite]</definedName>
    <definedName name="Coupon">Interface_Obligation!$B$8</definedName>
    <definedName name="Duration">Interface_Obligation!$I$7</definedName>
    <definedName name="DurationV2">Tableau2[Duration]</definedName>
    <definedName name="Frequence">Interface_Obligation!$B$10</definedName>
    <definedName name="Maturite">Interface_Obligation!$B$9</definedName>
    <definedName name="Nominal">Interface_Obligation!$B$7</definedName>
    <definedName name="NomObligation">Interface_Obligation!$B$6</definedName>
    <definedName name="Prix">Interface_Obligation!#REF!</definedName>
    <definedName name="PrixOblig">Interface_Obligation!$I$5</definedName>
    <definedName name="PrixObligV2">Tableau2[Prix Obligation]</definedName>
    <definedName name="TauxMarche">Interface_Obligation!$B$11</definedName>
    <definedName name="YTM">Interface_Obligation!$I$6</definedName>
    <definedName name="YTMV2">Tableau2[YTM]</definedName>
    <definedName name="ZoneFlux">Interface_Obligation!$E$6:$E$324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3" l="1"/>
  <c r="G4" i="3"/>
  <c r="F4" i="3"/>
  <c r="E4" i="3"/>
</calcChain>
</file>

<file path=xl/sharedStrings.xml><?xml version="1.0" encoding="utf-8"?>
<sst xmlns="http://schemas.openxmlformats.org/spreadsheetml/2006/main" count="600" uniqueCount="109">
  <si>
    <t>Valeur</t>
  </si>
  <si>
    <t>Fréquence</t>
  </si>
  <si>
    <t>Taux de Marché (%)</t>
  </si>
  <si>
    <t>Paramètres à saisir</t>
  </si>
  <si>
    <t>Label</t>
  </si>
  <si>
    <t>Nom Obligation</t>
  </si>
  <si>
    <t>Nominal</t>
  </si>
  <si>
    <t>Coupon (%)</t>
  </si>
  <si>
    <t>Maturité (année)</t>
  </si>
  <si>
    <t>Prix Obligation</t>
  </si>
  <si>
    <t>YTM</t>
  </si>
  <si>
    <t>Flux</t>
  </si>
  <si>
    <t>ABC</t>
  </si>
  <si>
    <t>Duration</t>
  </si>
  <si>
    <t>Convexite</t>
  </si>
  <si>
    <t>YTM (en %)</t>
  </si>
  <si>
    <t>ID</t>
  </si>
  <si>
    <t>Nom</t>
  </si>
  <si>
    <t>Coupon (en %)</t>
  </si>
  <si>
    <t>Maturité (Année)</t>
  </si>
  <si>
    <t>Taux Marché (en %)</t>
  </si>
  <si>
    <t>Nombre dans le portefeuille</t>
  </si>
  <si>
    <t>FRCASA010233</t>
  </si>
  <si>
    <t>BNPBOND010524</t>
  </si>
  <si>
    <t>SOCGENBOND050627</t>
  </si>
  <si>
    <t>CREDITAGR050826</t>
  </si>
  <si>
    <t>RATP050430</t>
  </si>
  <si>
    <t>EDF050527</t>
  </si>
  <si>
    <t>AIRFRANCE050630</t>
  </si>
  <si>
    <t>TOTAL050528</t>
  </si>
  <si>
    <t>ORANGE050529</t>
  </si>
  <si>
    <t>SNCF050532</t>
  </si>
  <si>
    <t>AXABOND050631</t>
  </si>
  <si>
    <t>SOCIETEGEN050623</t>
  </si>
  <si>
    <t>ENGIE050634</t>
  </si>
  <si>
    <t>CREDITLYON050635</t>
  </si>
  <si>
    <t>BNPBOND050636</t>
  </si>
  <si>
    <t>Période</t>
  </si>
  <si>
    <t>Date</t>
  </si>
  <si>
    <t>Coupon</t>
  </si>
  <si>
    <t>Flux total</t>
  </si>
  <si>
    <t>Flux actualisé</t>
  </si>
  <si>
    <t>Obligation: FRCASA010233</t>
  </si>
  <si>
    <t>Obligation: BNPBOND010524</t>
  </si>
  <si>
    <t>Obligation: SOCGENBOND050627</t>
  </si>
  <si>
    <t>Obligation: CREDITAGR050826</t>
  </si>
  <si>
    <t>Obligation: RATP050430</t>
  </si>
  <si>
    <t>Obligation: EDF050527</t>
  </si>
  <si>
    <t>Obligation: AIRFRANCE050630</t>
  </si>
  <si>
    <t>Obligation: TOTAL050528</t>
  </si>
  <si>
    <t>Obligation: ORANGE050529</t>
  </si>
  <si>
    <t>Obligation: SNCF050532</t>
  </si>
  <si>
    <t>Obligation: AXABOND050631</t>
  </si>
  <si>
    <t>Obligation: SOCIETEGEN050623</t>
  </si>
  <si>
    <t>Obligation: ENGIE050634</t>
  </si>
  <si>
    <t>Obligation: CREDITLYON050635</t>
  </si>
  <si>
    <t>Obligation: BNPBOND050636</t>
  </si>
  <si>
    <t>Nom Oblig</t>
  </si>
  <si>
    <t>Flux Actualisé</t>
  </si>
  <si>
    <t>Agrégats du Portefeuille</t>
  </si>
  <si>
    <t xml:space="preserve">Prix </t>
  </si>
  <si>
    <t>Convexité</t>
  </si>
  <si>
    <t>Rendement</t>
  </si>
  <si>
    <t>Pilier</t>
  </si>
  <si>
    <t>Maturité (années)</t>
  </si>
  <si>
    <t>Flux projeté</t>
  </si>
  <si>
    <t>PV (actualisé)</t>
  </si>
  <si>
    <t>Duration (années, modifiée)</t>
  </si>
  <si>
    <t>Convexité (années^2)</t>
  </si>
  <si>
    <t>1M</t>
  </si>
  <si>
    <t>3M</t>
  </si>
  <si>
    <t>6M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</si>
  <si>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</si>
  <si>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</si>
  <si>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</si>
  <si>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</si>
  <si>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</si>
  <si>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</si>
  <si>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</si>
  <si>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</si>
  <si>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</si>
  <si>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</si>
  <si>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Rendement portefeuille (YTM)</t>
  </si>
  <si>
    <t>Nom de l'obligation</t>
  </si>
  <si>
    <t>Maturité</t>
  </si>
  <si>
    <t>Taux marché</t>
  </si>
  <si>
    <t>Prix</t>
  </si>
  <si>
    <t>? Taux</t>
  </si>
  <si>
    <t>Prix exact</t>
  </si>
  <si>
    <t>Prix Duration</t>
  </si>
  <si>
    <t>Prix Duration+Conv</t>
  </si>
  <si>
    <t>&lt;- Ici ce sont des fonctions Excel classiques dans les cellules (actualisation automatique donc)</t>
  </si>
  <si>
    <t xml:space="preserve">Ici, obligations choisies par moi-même et informations recopiées à la main </t>
  </si>
  <si>
    <t>Sur cet onglet vous pouvez remplir les différents paramètres à saisir de votre obligation dans les cellules B5 à B10, ensuite en appuyant sur le bouton "Actualiser cet onglet" les différents flux de votre obligation ainsi que les résultats de prix / YTM / Convexité et Duration seront calculés</t>
  </si>
  <si>
    <t>Résultats</t>
  </si>
  <si>
    <t xml:space="preserve">Sur cet onglet vous pouvez retrouver l'ensemble des obligations du portefeuille ainsi que le Prix / YTM / Duration et Convexité calculés en colonnes I à L </t>
  </si>
  <si>
    <t>Sur cet onglet vous pouvez retrouver l'ensemble des flux actualisés des différentes obligations en colonnes A à C</t>
  </si>
  <si>
    <t>Vous pouvez également retrouver les agrégats du portefeuille de E4 à H4</t>
  </si>
  <si>
    <t xml:space="preserve">Un bouton "actualiser cet onglet" permet d'actualiser tout cela </t>
  </si>
  <si>
    <t>Sur cet onglet vous pouvez retrouver un tableau d'agrégats des KPI'S par piliers de maturité en colonnes A à F</t>
  </si>
  <si>
    <t>Le rendement global du portefeuille se trouve en cellule H2</t>
  </si>
  <si>
    <t xml:space="preserve">Deux graphiques liés à ces piliers de maturité sont présents </t>
  </si>
  <si>
    <t>Un bouton "Actualiser cet onglet" sert à tout actualiser</t>
  </si>
  <si>
    <t>Un bouton "Générer" sert à générer un onglet par obligation</t>
  </si>
  <si>
    <t>Vous pouvez retrouver le tableau du portefeuille en lignes 1 à 16</t>
  </si>
  <si>
    <t>Les différents flux par obligations sont présents en blocs à partir de la ligne 19</t>
  </si>
  <si>
    <t>Un bouton "Actualiser cet onglet" permet d'actualiser tout cela</t>
  </si>
  <si>
    <t>A la droite de l'onglet, vous avez par obligations</t>
  </si>
  <si>
    <t>Un graphique et un tableau de KPI'S lié à une var. de taux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</si>
</sst>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3" borderId="0" xfId="0" applyFill="1"/>
    <xf numFmtId="0" fontId="0" fillId="3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8" xfId="0" applyBorder="1"/>
    <xf numFmtId="0" fontId="0" fillId="0" borderId="0" xfId="0" applyBorder="1"/>
    <xf numFmtId="0" fontId="0" fillId="0" borderId="12" xfId="0" applyBorder="1"/>
    <xf numFmtId="0" fontId="0" fillId="2" borderId="11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3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3" xfId="0" applyFont="1" applyBorder="1"/>
    <xf numFmtId="0" fontId="0" fillId="0" borderId="23" xfId="0" applyBorder="1"/>
    <xf numFmtId="0" fontId="0" fillId="2" borderId="13" xfId="0" applyFill="1" applyBorder="1"/>
    <xf numFmtId="0" fontId="0" fillId="2" borderId="20" xfId="0" applyFill="1" applyBorder="1"/>
    <xf numFmtId="0" fontId="0" fillId="2" borderId="13" xfId="0" applyFont="1" applyFill="1" applyBorder="1"/>
    <xf numFmtId="0" fontId="0" fillId="0" borderId="18" xfId="0" applyFont="1" applyBorder="1"/>
    <xf numFmtId="0" fontId="0" fillId="0" borderId="22" xfId="0" applyFont="1" applyBorder="1"/>
    <xf numFmtId="0" fontId="1" fillId="4" borderId="13" xfId="0" applyFont="1" applyFill="1" applyBorder="1"/>
    <xf numFmtId="0" fontId="1" fillId="4" borderId="18" xfId="0" applyFont="1" applyFill="1" applyBorder="1"/>
    <xf numFmtId="14" fontId="0" fillId="2" borderId="13" xfId="0" applyNumberFormat="1" applyFill="1" applyBorder="1"/>
    <xf numFmtId="0" fontId="0" fillId="0" borderId="0" xfId="0" applyAlignment="1">
      <alignment wrapText="1"/>
    </xf>
    <xf numFmtId="0" fontId="0" fillId="0" borderId="0" xfId="0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2" borderId="0" xfId="0" applyFill="1" applyBorder="1"/>
    <xf numFmtId="0" fontId="0" fillId="2" borderId="6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5" fillId="0" borderId="24" xfId="0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/>
    <xf numFmtId="0" fontId="4" fillId="5" borderId="25" xfId="0" applyFont="1" applyFill="1" applyBorder="1" applyAlignment="1">
      <alignment horizontal="center"/>
    </xf>
    <xf numFmtId="0" fontId="4" fillId="5" borderId="26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2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24" xfId="0" applyFont="1" applyFill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6" fillId="5" borderId="25" xfId="0" applyFont="1" applyFill="1" applyBorder="1" applyAlignment="1">
      <alignment horizontal="center"/>
    </xf>
    <xf numFmtId="0" fontId="6" fillId="5" borderId="26" xfId="0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0" fontId="6" fillId="5" borderId="24" xfId="0" applyFont="1" applyFill="1" applyBorder="1" applyAlignment="1">
      <alignment horizontal="center"/>
    </xf>
    <xf numFmtId="0" fontId="6" fillId="5" borderId="27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9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</cellXfs>
  <cellStyles count="1">
    <cellStyle name="Normal" xfId="0" builtinId="0"/>
  </cellStyles>
  <dxfs count="19">
    <dxf>
      <fill>
        <patternFill patternType="solid">
          <fgColor indexed="64"/>
          <bgColor theme="2" tint="-9.9978637043366805E-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9.9978637043366805E-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FRCASA010233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Dashboard_Obligation!$P$3:$S$3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Dashboard_Obligation!$P$4:$S$4</c:f>
              <c:numCache>
                <c:formatCode>General</c:formatCode>
                <c:ptCount val="4"/>
                <c:pt idx="0">
                  <c:v>-0.02</c:v>
                </c:pt>
                <c:pt idx="1">
                  <c:v>103.85438464755177</c:v>
                </c:pt>
                <c:pt idx="2">
                  <c:v>104.98996100204799</c:v>
                </c:pt>
                <c:pt idx="3">
                  <c:v>105.13977715597008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FA-47A8-B634-9F24442DA3F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Dashboard_Obligation!$P$3:$S$3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Dashboard_Obligation!$P$5:$S$5</c:f>
              <c:numCache>
                <c:formatCode>General</c:formatCode>
                <c:ptCount val="4"/>
                <c:pt idx="0">
                  <c:v>-0.01</c:v>
                </c:pt>
                <c:pt idx="1">
                  <c:v>101.90386434933714</c:v>
                </c:pt>
                <c:pt idx="2">
                  <c:v>102.49198459201403</c:v>
                </c:pt>
                <c:pt idx="3">
                  <c:v>102.52943863049454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FA-47A8-B634-9F24442DA3F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Dashboard_Obligation!$P$3:$S$3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Dashboard_Obligation!$P$6:$S$6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100.94618505275704</c:v>
                </c:pt>
                <c:pt idx="2">
                  <c:v>101.24299638699705</c:v>
                </c:pt>
                <c:pt idx="3">
                  <c:v>101.25235989661718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FA-47A8-B634-9F24442DA3F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Dashboard_Obligation!$P$3:$S$3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Dashboard_Obligation!$P$7:$S$7</c:f>
              <c:numCache>
                <c:formatCode>General</c:formatCode>
                <c:ptCount val="4"/>
                <c:pt idx="0">
                  <c:v>0</c:v>
                </c:pt>
                <c:pt idx="1">
                  <c:v>100.00000000000004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FA-47A8-B634-9F24442DA3F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Dashboard_Obligation!$P$3:$S$3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Dashboard_Obligation!$P$8:$S$8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99.065143033637682</c:v>
                </c:pt>
                <c:pt idx="2">
                  <c:v>98.745019976963107</c:v>
                </c:pt>
                <c:pt idx="3">
                  <c:v>98.754383486583222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FA-47A8-B634-9F24442DA3F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Dashboard_Obligation!$P$3:$S$3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Dashboard_Obligation!$P$9:$S$9</c:f>
              <c:numCache>
                <c:formatCode>General</c:formatCode>
                <c:ptCount val="4"/>
                <c:pt idx="0">
                  <c:v>0.01</c:v>
                </c:pt>
                <c:pt idx="1">
                  <c:v>98.141450798594803</c:v>
                </c:pt>
                <c:pt idx="2">
                  <c:v>97.496031771946122</c:v>
                </c:pt>
                <c:pt idx="3">
                  <c:v>97.53348581042664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4FA-47A8-B634-9F24442DA3F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Dashboard_Obligation!$P$3:$S$3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Dashboard_Obligation!$P$10:$S$10</c:f>
              <c:numCache>
                <c:formatCode>General</c:formatCode>
                <c:ptCount val="4"/>
                <c:pt idx="0">
                  <c:v>0.02</c:v>
                </c:pt>
                <c:pt idx="1">
                  <c:v>96.326920791387806</c:v>
                </c:pt>
                <c:pt idx="2">
                  <c:v>94.998055361912151</c:v>
                </c:pt>
                <c:pt idx="3">
                  <c:v>95.14787151583424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FA-47A8-B634-9F24442DA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727631"/>
        <c:axId val="879084495"/>
      </c:lineChart>
      <c:catAx>
        <c:axId val="74672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84495"/>
        <c:crosses val="autoZero"/>
        <c:auto val="1"/>
        <c:lblAlgn val="ctr"/>
        <c:lblOffset val="100"/>
        <c:noMultiLvlLbl val="0"/>
      </c:catAx>
      <c:valAx>
        <c:axId val="87908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6727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BNPBOND010524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Dashboard_Obligation!$P$14:$S$14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Dashboard_Obligation!$P$15:$S$15</c:f>
              <c:numCache>
                <c:formatCode>General</c:formatCode>
                <c:ptCount val="4"/>
                <c:pt idx="0">
                  <c:v>-0.02</c:v>
                </c:pt>
                <c:pt idx="1">
                  <c:v>104.30950744042272</c:v>
                </c:pt>
                <c:pt idx="2">
                  <c:v>106.98781728871666</c:v>
                </c:pt>
                <c:pt idx="3">
                  <c:v>107.26745078707711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99-44E3-A09F-FB8BBAC0F65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Dashboard_Obligation!$P$14:$S$14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Dashboard_Obligation!$P$16:$S$16</c:f>
              <c:numCache>
                <c:formatCode>General</c:formatCode>
                <c:ptCount val="4"/>
                <c:pt idx="0">
                  <c:v>-0.01</c:v>
                </c:pt>
                <c:pt idx="1">
                  <c:v>101.41224940435696</c:v>
                </c:pt>
                <c:pt idx="2">
                  <c:v>103.49091273534837</c:v>
                </c:pt>
                <c:pt idx="3">
                  <c:v>103.56082110993847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99-44E3-A09F-FB8BBAC0F65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Dashboard_Obligation!$P$14:$S$14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Dashboard_Obligation!$P$17:$S$17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99.999999999999986</c:v>
                </c:pt>
                <c:pt idx="2">
                  <c:v>101.74246045866423</c:v>
                </c:pt>
                <c:pt idx="3">
                  <c:v>101.75993755231177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99-44E3-A09F-FB8BBAC0F65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Dashboard_Obligation!$P$14:$S$14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Dashboard_Obligation!$P$18:$S$18</c:f>
              <c:numCache>
                <c:formatCode>General</c:formatCode>
                <c:ptCount val="4"/>
                <c:pt idx="0">
                  <c:v>0</c:v>
                </c:pt>
                <c:pt idx="1">
                  <c:v>98.611380799725495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99-44E3-A09F-FB8BBAC0F65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Dashboard_Obligation!$P$14:$S$14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Dashboard_Obligation!$P$19:$S$19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97.245937319210142</c:v>
                </c:pt>
                <c:pt idx="2">
                  <c:v>98.24555590529593</c:v>
                </c:pt>
                <c:pt idx="3">
                  <c:v>98.263032998943459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99-44E3-A09F-FB8BBAC0F65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Dashboard_Obligation!$P$14:$S$14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Dashboard_Obligation!$P$20:$S$20</c:f>
              <c:numCache>
                <c:formatCode>General</c:formatCode>
                <c:ptCount val="4"/>
                <c:pt idx="0">
                  <c:v>0.01</c:v>
                </c:pt>
                <c:pt idx="1">
                  <c:v>95.903224916653897</c:v>
                </c:pt>
                <c:pt idx="2">
                  <c:v>96.497103628611782</c:v>
                </c:pt>
                <c:pt idx="3">
                  <c:v>96.567012003201896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99-44E3-A09F-FB8BBAC0F65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Dashboard_Obligation!$P$14:$S$14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Dashboard_Obligation!$P$21:$S$21</c:f>
              <c:numCache>
                <c:formatCode>General</c:formatCode>
                <c:ptCount val="4"/>
                <c:pt idx="0">
                  <c:v>0.02</c:v>
                </c:pt>
                <c:pt idx="1">
                  <c:v>93.284262577134811</c:v>
                </c:pt>
                <c:pt idx="2">
                  <c:v>93.000199075243486</c:v>
                </c:pt>
                <c:pt idx="3">
                  <c:v>93.27983257360394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99-44E3-A09F-FB8BBAC0F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588527"/>
        <c:axId val="879098639"/>
      </c:lineChart>
      <c:catAx>
        <c:axId val="426588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98639"/>
        <c:crosses val="autoZero"/>
        <c:auto val="1"/>
        <c:lblAlgn val="ctr"/>
        <c:lblOffset val="100"/>
        <c:noMultiLvlLbl val="0"/>
      </c:catAx>
      <c:valAx>
        <c:axId val="87909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588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SOCGENBOND050627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Dashboard_Obligation!$P$25:$S$25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Dashboard_Obligation!$P$26:$S$26</c:f>
              <c:numCache>
                <c:formatCode>General</c:formatCode>
                <c:ptCount val="4"/>
                <c:pt idx="0">
                  <c:v>-0.02</c:v>
                </c:pt>
                <c:pt idx="1">
                  <c:v>112.75028062622835</c:v>
                </c:pt>
                <c:pt idx="2">
                  <c:v>111.96909219143224</c:v>
                </c:pt>
                <c:pt idx="3">
                  <c:v>112.80649368811683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F-4550-93F1-8A349A3A35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Dashboard_Obligation!$P$25:$S$25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Dashboard_Obligation!$P$27:$S$27</c:f>
              <c:numCache>
                <c:formatCode>General</c:formatCode>
                <c:ptCount val="4"/>
                <c:pt idx="0">
                  <c:v>-0.01</c:v>
                </c:pt>
                <c:pt idx="1">
                  <c:v>107.96845631020996</c:v>
                </c:pt>
                <c:pt idx="2">
                  <c:v>105.98155018670617</c:v>
                </c:pt>
                <c:pt idx="3">
                  <c:v>106.19090056087732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F-4550-93F1-8A349A3A35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Dashboard_Obligation!$P$25:$S$25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Dashboard_Obligation!$P$28:$S$28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105.67530260659642</c:v>
                </c:pt>
                <c:pt idx="2">
                  <c:v>102.98777918434311</c:v>
                </c:pt>
                <c:pt idx="3">
                  <c:v>103.0401167778859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6F-4550-93F1-8A349A3A35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Dashboard_Obligation!$P$25:$S$25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Dashboard_Obligation!$P$29:$S$29</c:f>
              <c:numCache>
                <c:formatCode>General</c:formatCode>
                <c:ptCount val="4"/>
                <c:pt idx="0">
                  <c:v>0</c:v>
                </c:pt>
                <c:pt idx="1">
                  <c:v>103.44451592944039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6F-4550-93F1-8A349A3A35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Dashboard_Obligation!$P$25:$S$25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Dashboard_Obligation!$P$30:$S$30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101.27408968441621</c:v>
                </c:pt>
                <c:pt idx="2">
                  <c:v>97.000237179617031</c:v>
                </c:pt>
                <c:pt idx="3">
                  <c:v>97.052574773159819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6F-4550-93F1-8A349A3A35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Dashboard_Obligation!$P$25:$S$25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Dashboard_Obligation!$P$31:$S$31</c:f>
              <c:numCache>
                <c:formatCode>General</c:formatCode>
                <c:ptCount val="4"/>
                <c:pt idx="0">
                  <c:v>0.01</c:v>
                </c:pt>
                <c:pt idx="1">
                  <c:v>99.162091277011896</c:v>
                </c:pt>
                <c:pt idx="2">
                  <c:v>94.006466177253998</c:v>
                </c:pt>
                <c:pt idx="3">
                  <c:v>94.215816551425149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6F-4550-93F1-8A349A3A35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Dashboard_Obligation!$P$25:$S$25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Dashboard_Obligation!$P$32:$S$32</c:f>
              <c:numCache>
                <c:formatCode>General</c:formatCode>
                <c:ptCount val="4"/>
                <c:pt idx="0">
                  <c:v>0.02</c:v>
                </c:pt>
                <c:pt idx="1">
                  <c:v>95.105999331243808</c:v>
                </c:pt>
                <c:pt idx="2">
                  <c:v>88.018924172527917</c:v>
                </c:pt>
                <c:pt idx="3">
                  <c:v>88.856325669212509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6F-4550-93F1-8A349A3A3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589327"/>
        <c:axId val="879094063"/>
      </c:lineChart>
      <c:catAx>
        <c:axId val="426589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94063"/>
        <c:crosses val="autoZero"/>
        <c:auto val="1"/>
        <c:lblAlgn val="ctr"/>
        <c:lblOffset val="100"/>
        <c:noMultiLvlLbl val="0"/>
      </c:catAx>
      <c:valAx>
        <c:axId val="8790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589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CREDITAGR050826</a:t>
            </a:r>
          </a:p>
        </c:rich>
      </c:tx>
      <c:layout>
        <c:manualLayout>
          <c:xMode val="edge"/>
          <c:yMode val="edge"/>
          <c:x val="0.2367867160179695"/>
          <c:y val="2.80701754385964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Dashboard_Obligation!$P$36:$S$36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Dashboard_Obligation!$P$37:$S$37</c:f>
              <c:numCache>
                <c:formatCode>General</c:formatCode>
                <c:ptCount val="4"/>
                <c:pt idx="0">
                  <c:v>-0.02</c:v>
                </c:pt>
                <c:pt idx="1">
                  <c:v>106.53266184776099</c:v>
                </c:pt>
                <c:pt idx="2">
                  <c:v>108.98546415196458</c:v>
                </c:pt>
                <c:pt idx="3">
                  <c:v>109.43484667114315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DF-4209-8CFB-DC7B9367588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Dashboard_Obligation!$P$36:$S$36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Dashboard_Obligation!$P$38:$S$38</c:f>
              <c:numCache>
                <c:formatCode>General</c:formatCode>
                <c:ptCount val="4"/>
                <c:pt idx="0">
                  <c:v>-0.01</c:v>
                </c:pt>
                <c:pt idx="1">
                  <c:v>102.63152540271093</c:v>
                </c:pt>
                <c:pt idx="2">
                  <c:v>104.48973616697234</c:v>
                </c:pt>
                <c:pt idx="3">
                  <c:v>104.60208179676697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DF-4209-8CFB-DC7B9367588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Dashboard_Obligation!$P$36:$S$36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Dashboard_Obligation!$P$39:$S$39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100.74372442703779</c:v>
                </c:pt>
                <c:pt idx="2">
                  <c:v>102.24187217447621</c:v>
                </c:pt>
                <c:pt idx="3">
                  <c:v>102.26995858192488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DF-4209-8CFB-DC7B9367588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Dashboard_Obligation!$P$36:$S$36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Dashboard_Obligation!$P$40:$S$40</c:f>
              <c:numCache>
                <c:formatCode>General</c:formatCode>
                <c:ptCount val="4"/>
                <c:pt idx="0">
                  <c:v>0</c:v>
                </c:pt>
                <c:pt idx="1">
                  <c:v>98.896426652328515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DF-4209-8CFB-DC7B9367588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Dashboard_Obligation!$P$36:$S$36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Dashboard_Obligation!$P$41:$S$41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97.088659196242574</c:v>
                </c:pt>
                <c:pt idx="2">
                  <c:v>97.746144189483957</c:v>
                </c:pt>
                <c:pt idx="3">
                  <c:v>97.774230596932611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DF-4209-8CFB-DC7B9367588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Dashboard_Obligation!$P$36:$S$36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Dashboard_Obligation!$P$42:$S$42</c:f>
              <c:numCache>
                <c:formatCode>General</c:formatCode>
                <c:ptCount val="4"/>
                <c:pt idx="0">
                  <c:v>0.01</c:v>
                </c:pt>
                <c:pt idx="1">
                  <c:v>95.319474923311162</c:v>
                </c:pt>
                <c:pt idx="2">
                  <c:v>95.498280196987821</c:v>
                </c:pt>
                <c:pt idx="3">
                  <c:v>95.610625826782467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DF-4209-8CFB-DC7B9367588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Dashboard_Obligation!$P$36:$S$36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Dashboard_Obligation!$P$43:$S$43</c:f>
              <c:numCache>
                <c:formatCode>General</c:formatCode>
                <c:ptCount val="4"/>
                <c:pt idx="0">
                  <c:v>0.02</c:v>
                </c:pt>
                <c:pt idx="1">
                  <c:v>91.893191684399909</c:v>
                </c:pt>
                <c:pt idx="2">
                  <c:v>91.002552211995578</c:v>
                </c:pt>
                <c:pt idx="3">
                  <c:v>91.451934731174134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DF-4209-8CFB-DC7B93675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586527"/>
        <c:axId val="879101967"/>
      </c:lineChart>
      <c:catAx>
        <c:axId val="426586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101967"/>
        <c:crosses val="autoZero"/>
        <c:auto val="1"/>
        <c:lblAlgn val="ctr"/>
        <c:lblOffset val="100"/>
        <c:noMultiLvlLbl val="0"/>
      </c:catAx>
      <c:valAx>
        <c:axId val="87910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586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RATP050430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Dashboard_Obligation!$P$47:$S$47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Dashboard_Obligation!$P$48:$S$48</c:f>
              <c:numCache>
                <c:formatCode>General</c:formatCode>
                <c:ptCount val="4"/>
                <c:pt idx="0">
                  <c:v>-0.02</c:v>
                </c:pt>
                <c:pt idx="1">
                  <c:v>105.02935480003582</c:v>
                </c:pt>
                <c:pt idx="2">
                  <c:v>106.98998521879818</c:v>
                </c:pt>
                <c:pt idx="3">
                  <c:v>107.26975015416994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F-480B-BD91-3598CB19E87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Dashboard_Obligation!$P$47:$S$47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Dashboard_Obligation!$P$49:$S$49</c:f>
              <c:numCache>
                <c:formatCode>General</c:formatCode>
                <c:ptCount val="4"/>
                <c:pt idx="0">
                  <c:v>-0.01</c:v>
                </c:pt>
                <c:pt idx="1">
                  <c:v>102.03540602037724</c:v>
                </c:pt>
                <c:pt idx="2">
                  <c:v>103.49199670038914</c:v>
                </c:pt>
                <c:pt idx="3">
                  <c:v>103.56193793423208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6F-480B-BD91-3598CB19E87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Dashboard_Obligation!$P$47:$S$47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Dashboard_Obligation!$P$50:$S$50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100.57657186861189</c:v>
                </c:pt>
                <c:pt idx="2">
                  <c:v>101.7430024411846</c:v>
                </c:pt>
                <c:pt idx="3">
                  <c:v>101.76048774964534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6F-480B-BD91-3598CB19E87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Dashboard_Obligation!$P$47:$S$47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Dashboard_Obligation!$P$51:$S$51</c:f>
              <c:numCache>
                <c:formatCode>General</c:formatCode>
                <c:ptCount val="4"/>
                <c:pt idx="0">
                  <c:v>0</c:v>
                </c:pt>
                <c:pt idx="1">
                  <c:v>99.142504045871817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6F-480B-BD91-3598CB19E87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Dashboard_Obligation!$P$47:$S$47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Dashboard_Obligation!$P$52:$S$52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97.732720751578952</c:v>
                </c:pt>
                <c:pt idx="2">
                  <c:v>98.245013922775541</c:v>
                </c:pt>
                <c:pt idx="3">
                  <c:v>98.262499231236291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6F-480B-BD91-3598CB19E87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Dashboard_Obligation!$P$47:$S$47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Dashboard_Obligation!$P$53:$S$53</c:f>
              <c:numCache>
                <c:formatCode>General</c:formatCode>
                <c:ptCount val="4"/>
                <c:pt idx="0">
                  <c:v>0.01</c:v>
                </c:pt>
                <c:pt idx="1">
                  <c:v>96.346750725599847</c:v>
                </c:pt>
                <c:pt idx="2">
                  <c:v>96.496019663571019</c:v>
                </c:pt>
                <c:pt idx="3">
                  <c:v>96.565960897413959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6F-480B-BD91-3598CB19E87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Dashboard_Obligation!$P$47:$S$47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Dashboard_Obligation!$P$54:$S$54</c:f>
              <c:numCache>
                <c:formatCode>General</c:formatCode>
                <c:ptCount val="4"/>
                <c:pt idx="0">
                  <c:v>0.02</c:v>
                </c:pt>
                <c:pt idx="1">
                  <c:v>93.644416611944322</c:v>
                </c:pt>
                <c:pt idx="2">
                  <c:v>92.99803114516196</c:v>
                </c:pt>
                <c:pt idx="3">
                  <c:v>93.277796080533719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6F-480B-BD91-3598CB19E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641135"/>
        <c:axId val="879099055"/>
      </c:lineChart>
      <c:catAx>
        <c:axId val="68364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99055"/>
        <c:crosses val="autoZero"/>
        <c:auto val="1"/>
        <c:lblAlgn val="ctr"/>
        <c:lblOffset val="100"/>
        <c:noMultiLvlLbl val="0"/>
      </c:catAx>
      <c:valAx>
        <c:axId val="87909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3641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EDF050527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Dashboard_Obligation!$P$58:$S$58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Dashboard_Obligation!$P$59:$S$59</c:f>
              <c:numCache>
                <c:formatCode>General</c:formatCode>
                <c:ptCount val="4"/>
                <c:pt idx="0">
                  <c:v>-0.02</c:v>
                </c:pt>
                <c:pt idx="1">
                  <c:v>113.53908935776988</c:v>
                </c:pt>
                <c:pt idx="2">
                  <c:v>115.96301414763927</c:v>
                </c:pt>
                <c:pt idx="3">
                  <c:v>117.39893189419304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9-46C5-A92A-F712B937925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Dashboard_Obligation!$P$58:$S$58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Dashboard_Obligation!$P$60:$S$60</c:f>
              <c:numCache>
                <c:formatCode>General</c:formatCode>
                <c:ptCount val="4"/>
                <c:pt idx="0">
                  <c:v>-0.01</c:v>
                </c:pt>
                <c:pt idx="1">
                  <c:v>106.82755650254607</c:v>
                </c:pt>
                <c:pt idx="2">
                  <c:v>107.97851116480967</c:v>
                </c:pt>
                <c:pt idx="3">
                  <c:v>108.33749060144811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9-46C5-A92A-F712B937925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Dashboard_Obligation!$P$58:$S$58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Dashboard_Obligation!$P$61:$S$61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103.65507391913532</c:v>
                </c:pt>
                <c:pt idx="2">
                  <c:v>103.98625967339487</c:v>
                </c:pt>
                <c:pt idx="3">
                  <c:v>104.07600453255448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89-46C5-A92A-F712B937925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Dashboard_Obligation!$P$58:$S$58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Dashboard_Obligation!$P$62:$S$62</c:f>
              <c:numCache>
                <c:formatCode>General</c:formatCode>
                <c:ptCount val="4"/>
                <c:pt idx="0">
                  <c:v>0</c:v>
                </c:pt>
                <c:pt idx="1">
                  <c:v>100.5979936644284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89-46C5-A92A-F712B937925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Dashboard_Obligation!$P$58:$S$58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Dashboard_Obligation!$P$63:$S$63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97.651521297016103</c:v>
                </c:pt>
                <c:pt idx="2">
                  <c:v>96.001756690565287</c:v>
                </c:pt>
                <c:pt idx="3">
                  <c:v>96.091501549724896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89-46C5-A92A-F712B937925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Dashboard_Obligation!$P$58:$S$58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Dashboard_Obligation!$P$64:$S$64</c:f>
              <c:numCache>
                <c:formatCode>General</c:formatCode>
                <c:ptCount val="4"/>
                <c:pt idx="0">
                  <c:v>0.01</c:v>
                </c:pt>
                <c:pt idx="1">
                  <c:v>94.811084450577468</c:v>
                </c:pt>
                <c:pt idx="2">
                  <c:v>92.009505199150482</c:v>
                </c:pt>
                <c:pt idx="3">
                  <c:v>92.368484635788931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89-46C5-A92A-F712B937925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Dashboard_Obligation!$P$58:$S$58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Dashboard_Obligation!$P$65:$S$65</c:f>
              <c:numCache>
                <c:formatCode>General</c:formatCode>
                <c:ptCount val="4"/>
                <c:pt idx="0">
                  <c:v>0.02</c:v>
                </c:pt>
                <c:pt idx="1">
                  <c:v>89.431071007078714</c:v>
                </c:pt>
                <c:pt idx="2">
                  <c:v>84.025002216320885</c:v>
                </c:pt>
                <c:pt idx="3">
                  <c:v>85.460919962874641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89-46C5-A92A-F712B9379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2127"/>
        <c:axId val="879089071"/>
      </c:lineChart>
      <c:catAx>
        <c:axId val="748732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89071"/>
        <c:crosses val="autoZero"/>
        <c:auto val="1"/>
        <c:lblAlgn val="ctr"/>
        <c:lblOffset val="100"/>
        <c:noMultiLvlLbl val="0"/>
      </c:catAx>
      <c:valAx>
        <c:axId val="87908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AIRFRANCE050630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Dashboard_Obligation!$P$69:$S$69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Dashboard_Obligation!$P$70:$S$70</c:f>
              <c:numCache>
                <c:formatCode>General</c:formatCode>
                <c:ptCount val="4"/>
                <c:pt idx="0">
                  <c:v>-0.02</c:v>
                </c:pt>
                <c:pt idx="1">
                  <c:v>118.60917697453019</c:v>
                </c:pt>
                <c:pt idx="2">
                  <c:v>120.92957897680103</c:v>
                </c:pt>
                <c:pt idx="3">
                  <c:v>123.22977170136717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58-4207-BC46-B50C564B66C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Dashboard_Obligation!$P$69:$S$69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Dashboard_Obligation!$P$71:$S$71</c:f>
              <c:numCache>
                <c:formatCode>General</c:formatCode>
                <c:ptCount val="4"/>
                <c:pt idx="0">
                  <c:v>-0.01</c:v>
                </c:pt>
                <c:pt idx="1">
                  <c:v>109.67031381304271</c:v>
                </c:pt>
                <c:pt idx="2">
                  <c:v>110.46179357939054</c:v>
                </c:pt>
                <c:pt idx="3">
                  <c:v>111.03684176053208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58-4207-BC46-B50C564B66C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Dashboard_Obligation!$P$69:$S$69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Dashboard_Obligation!$P$72:$S$72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105.5081027197858</c:v>
                </c:pt>
                <c:pt idx="2">
                  <c:v>105.2279008806853</c:v>
                </c:pt>
                <c:pt idx="3">
                  <c:v>105.37166292597068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58-4207-BC46-B50C564B66C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Dashboard_Obligation!$P$69:$S$69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Dashboard_Obligation!$P$73:$S$73</c:f>
              <c:numCache>
                <c:formatCode>General</c:formatCode>
                <c:ptCount val="4"/>
                <c:pt idx="0">
                  <c:v>0</c:v>
                </c:pt>
                <c:pt idx="1">
                  <c:v>101.53705323756213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58-4207-BC46-B50C564B66C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Dashboard_Obligation!$P$69:$S$69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Dashboard_Obligation!$P$74:$S$74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97.747605802473132</c:v>
                </c:pt>
                <c:pt idx="2">
                  <c:v>94.760115483274845</c:v>
                </c:pt>
                <c:pt idx="3">
                  <c:v>94.903877528560216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58-4207-BC46-B50C564B66C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Dashboard_Obligation!$P$69:$S$69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Dashboard_Obligation!$P$75:$S$75</c:f>
              <c:numCache>
                <c:formatCode>General</c:formatCode>
                <c:ptCount val="4"/>
                <c:pt idx="0">
                  <c:v>0.01</c:v>
                </c:pt>
                <c:pt idx="1">
                  <c:v>94.130708044250852</c:v>
                </c:pt>
                <c:pt idx="2">
                  <c:v>89.526222784569612</c:v>
                </c:pt>
                <c:pt idx="3">
                  <c:v>90.101270965711137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58-4207-BC46-B50C564B66C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Dashboard_Obligation!$P$69:$S$69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Dashboard_Obligation!$P$76:$S$76</c:f>
              <c:numCache>
                <c:formatCode>General</c:formatCode>
                <c:ptCount val="4"/>
                <c:pt idx="0">
                  <c:v>0.02</c:v>
                </c:pt>
                <c:pt idx="1">
                  <c:v>87.380720139954576</c:v>
                </c:pt>
                <c:pt idx="2">
                  <c:v>79.058437387159131</c:v>
                </c:pt>
                <c:pt idx="3">
                  <c:v>81.358630111725262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58-4207-BC46-B50C564B6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1727"/>
        <c:axId val="879093231"/>
      </c:lineChart>
      <c:catAx>
        <c:axId val="74873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93231"/>
        <c:crosses val="autoZero"/>
        <c:auto val="1"/>
        <c:lblAlgn val="ctr"/>
        <c:lblOffset val="100"/>
        <c:noMultiLvlLbl val="0"/>
      </c:catAx>
      <c:valAx>
        <c:axId val="87909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TOTAL050528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Dashboard_Obligation!$P$80:$S$80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Dashboard_Obligation!$P$81:$S$81</c:f>
              <c:numCache>
                <c:formatCode>General</c:formatCode>
                <c:ptCount val="4"/>
                <c:pt idx="0">
                  <c:v>-0.02</c:v>
                </c:pt>
                <c:pt idx="1">
                  <c:v>108.98162449256351</c:v>
                </c:pt>
                <c:pt idx="2">
                  <c:v>111.97722618834496</c:v>
                </c:pt>
                <c:pt idx="3">
                  <c:v>112.81545895518465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1-437F-AF26-B925849BFC1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Dashboard_Obligation!$P$80:$S$80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Dashboard_Obligation!$P$82:$S$82</c:f>
              <c:numCache>
                <c:formatCode>General</c:formatCode>
                <c:ptCount val="4"/>
                <c:pt idx="0">
                  <c:v>-0.01</c:v>
                </c:pt>
                <c:pt idx="1">
                  <c:v>104.13353149134532</c:v>
                </c:pt>
                <c:pt idx="2">
                  <c:v>105.98561718516252</c:v>
                </c:pt>
                <c:pt idx="3">
                  <c:v>106.19517537687244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1-437F-AF26-B925849BFC1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Dashboard_Obligation!$P$80:$S$80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Dashboard_Obligation!$P$83:$S$83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101.81114721676082</c:v>
                </c:pt>
                <c:pt idx="2">
                  <c:v>102.9898126835713</c:v>
                </c:pt>
                <c:pt idx="3">
                  <c:v>103.04220223149879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1-437F-AF26-B925849BFC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Dashboard_Obligation!$P$80:$S$80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Dashboard_Obligation!$P$84:$S$84</c:f>
              <c:numCache>
                <c:formatCode>General</c:formatCode>
                <c:ptCount val="4"/>
                <c:pt idx="0">
                  <c:v>0</c:v>
                </c:pt>
                <c:pt idx="1">
                  <c:v>99.55356436866316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1-437F-AF26-B925849BFC1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Dashboard_Obligation!$P$80:$S$80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Dashboard_Obligation!$P$85:$S$85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97.358657803785491</c:v>
                </c:pt>
                <c:pt idx="2">
                  <c:v>96.998203680388855</c:v>
                </c:pt>
                <c:pt idx="3">
                  <c:v>97.05059322831633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D1-437F-AF26-B925849BFC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Dashboard_Obligation!$P$80:$S$80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Dashboard_Obligation!$P$86:$S$86</c:f>
              <c:numCache>
                <c:formatCode>General</c:formatCode>
                <c:ptCount val="4"/>
                <c:pt idx="0">
                  <c:v>0.01</c:v>
                </c:pt>
                <c:pt idx="1">
                  <c:v>95.224382043812042</c:v>
                </c:pt>
                <c:pt idx="2">
                  <c:v>94.002399178797631</c:v>
                </c:pt>
                <c:pt idx="3">
                  <c:v>94.211957370507548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D1-437F-AF26-B925849BFC1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Dashboard_Obligation!$P$80:$S$80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Dashboard_Obligation!$P$87:$S$87</c:f>
              <c:numCache>
                <c:formatCode>General</c:formatCode>
                <c:ptCount val="4"/>
                <c:pt idx="0">
                  <c:v>0.02</c:v>
                </c:pt>
                <c:pt idx="1">
                  <c:v>91.129919393125149</c:v>
                </c:pt>
                <c:pt idx="2">
                  <c:v>88.010790175615185</c:v>
                </c:pt>
                <c:pt idx="3">
                  <c:v>88.849022942454866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6D1-437F-AF26-B925849B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1327"/>
        <c:axId val="879099887"/>
      </c:lineChart>
      <c:catAx>
        <c:axId val="7487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99887"/>
        <c:crosses val="autoZero"/>
        <c:auto val="1"/>
        <c:lblAlgn val="ctr"/>
        <c:lblOffset val="100"/>
        <c:noMultiLvlLbl val="0"/>
      </c:catAx>
      <c:valAx>
        <c:axId val="87909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ORANGE050529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Dashboard_Obligation!$P$91:$S$91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Dashboard_Obligation!$P$92:$S$92</c:f>
              <c:numCache>
                <c:formatCode>General</c:formatCode>
                <c:ptCount val="4"/>
                <c:pt idx="0">
                  <c:v>-0.02</c:v>
                </c:pt>
                <c:pt idx="1">
                  <c:v>112.30875635359303</c:v>
                </c:pt>
                <c:pt idx="2">
                  <c:v>114.96906225395682</c:v>
                </c:pt>
                <c:pt idx="3">
                  <c:v>116.16626212288628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1-433E-B560-EB75AA94A65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Dashboard_Obligation!$P$91:$S$91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Dashboard_Obligation!$P$93:$S$93</c:f>
              <c:numCache>
                <c:formatCode>General</c:formatCode>
                <c:ptCount val="4"/>
                <c:pt idx="0">
                  <c:v>-0.01</c:v>
                </c:pt>
                <c:pt idx="1">
                  <c:v>105.62439181685689</c:v>
                </c:pt>
                <c:pt idx="2">
                  <c:v>107.48153521796846</c:v>
                </c:pt>
                <c:pt idx="3">
                  <c:v>107.78083518520083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01-433E-B560-EB75AA94A65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Dashboard_Obligation!$P$91:$S$91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Dashboard_Obligation!$P$94:$S$94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102.45568210478382</c:v>
                </c:pt>
                <c:pt idx="2">
                  <c:v>103.73777169997427</c:v>
                </c:pt>
                <c:pt idx="3">
                  <c:v>103.81259669178235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01-433E-B560-EB75AA94A6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Dashboard_Obligation!$P$91:$S$91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Dashboard_Obligation!$P$95:$S$95</c:f>
              <c:numCache>
                <c:formatCode>General</c:formatCode>
                <c:ptCount val="4"/>
                <c:pt idx="0">
                  <c:v>0</c:v>
                </c:pt>
                <c:pt idx="1">
                  <c:v>99.396812178764833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01-433E-B560-EB75AA94A6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Dashboard_Obligation!$P$91:$S$91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Dashboard_Obligation!$P$96:$S$96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96.443645077985494</c:v>
                </c:pt>
                <c:pt idx="2">
                  <c:v>96.250244663985882</c:v>
                </c:pt>
                <c:pt idx="3">
                  <c:v>96.325069655793982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01-433E-B560-EB75AA94A65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Dashboard_Obligation!$P$91:$S$91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Dashboard_Obligation!$P$97:$S$97</c:f>
              <c:numCache>
                <c:formatCode>General</c:formatCode>
                <c:ptCount val="4"/>
                <c:pt idx="0">
                  <c:v>0.01</c:v>
                </c:pt>
                <c:pt idx="1">
                  <c:v>93.592210411155961</c:v>
                </c:pt>
                <c:pt idx="2">
                  <c:v>92.506481145991714</c:v>
                </c:pt>
                <c:pt idx="3">
                  <c:v>92.805781113224072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01-433E-B560-EB75AA94A65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Dashboard_Obligation!$P$91:$S$91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Dashboard_Obligation!$P$98:$S$98</c:f>
              <c:numCache>
                <c:formatCode>General</c:formatCode>
                <c:ptCount val="4"/>
                <c:pt idx="0">
                  <c:v>0.02</c:v>
                </c:pt>
                <c:pt idx="1">
                  <c:v>88.179447293699084</c:v>
                </c:pt>
                <c:pt idx="2">
                  <c:v>85.018954110003335</c:v>
                </c:pt>
                <c:pt idx="3">
                  <c:v>86.216153978932795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01-433E-B560-EB75AA94A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0927"/>
        <c:axId val="879102383"/>
      </c:lineChart>
      <c:catAx>
        <c:axId val="748730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102383"/>
        <c:crosses val="autoZero"/>
        <c:auto val="1"/>
        <c:lblAlgn val="ctr"/>
        <c:lblOffset val="100"/>
        <c:noMultiLvlLbl val="0"/>
      </c:catAx>
      <c:valAx>
        <c:axId val="87910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0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SNCF050532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Dashboard_Obligation!$P$102:$S$102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Dashboard_Obligation!$P$103:$S$103</c:f>
              <c:numCache>
                <c:formatCode>General</c:formatCode>
                <c:ptCount val="4"/>
                <c:pt idx="0">
                  <c:v>-0.02</c:v>
                </c:pt>
                <c:pt idx="1">
                  <c:v>104.1686880124915</c:v>
                </c:pt>
                <c:pt idx="2">
                  <c:v>104.99170934869815</c:v>
                </c:pt>
                <c:pt idx="3">
                  <c:v>105.14160740417137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76-4029-9925-A68B22A834F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Dashboard_Obligation!$P$102:$S$102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Dashboard_Obligation!$P$104:$S$104</c:f>
              <c:numCache>
                <c:formatCode>General</c:formatCode>
                <c:ptCount val="4"/>
                <c:pt idx="0">
                  <c:v>-0.01</c:v>
                </c:pt>
                <c:pt idx="1">
                  <c:v>102.15669426866003</c:v>
                </c:pt>
                <c:pt idx="2">
                  <c:v>102.49285876533911</c:v>
                </c:pt>
                <c:pt idx="3">
                  <c:v>102.53033327920741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76-4029-9925-A68B22A834F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Dashboard_Obligation!$P$102:$S$102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Dashboard_Obligation!$P$105:$S$105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101.16914954597389</c:v>
                </c:pt>
                <c:pt idx="2">
                  <c:v>101.24343347365958</c:v>
                </c:pt>
                <c:pt idx="3">
                  <c:v>101.25280210212667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76-4029-9925-A68B22A834F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Dashboard_Obligation!$P$102:$S$102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Dashboard_Obligation!$P$106:$S$106</c:f>
              <c:numCache>
                <c:formatCode>General</c:formatCode>
                <c:ptCount val="4"/>
                <c:pt idx="0">
                  <c:v>0</c:v>
                </c:pt>
                <c:pt idx="1">
                  <c:v>100.19366523368984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76-4029-9925-A68B22A834F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Dashboard_Obligation!$P$102:$S$102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Dashboard_Obligation!$P$107:$S$107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99.23006443536471</c:v>
                </c:pt>
                <c:pt idx="2">
                  <c:v>98.744582890300563</c:v>
                </c:pt>
                <c:pt idx="3">
                  <c:v>98.753951518767636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76-4029-9925-A68B22A834F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Dashboard_Obligation!$P$102:$S$102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Dashboard_Obligation!$P$108:$S$108</c:f>
              <c:numCache>
                <c:formatCode>General</c:formatCode>
                <c:ptCount val="4"/>
                <c:pt idx="0">
                  <c:v>0.01</c:v>
                </c:pt>
                <c:pt idx="1">
                  <c:v>98.278173278238199</c:v>
                </c:pt>
                <c:pt idx="2">
                  <c:v>97.495157598621049</c:v>
                </c:pt>
                <c:pt idx="3">
                  <c:v>97.532632112489352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876-4029-9925-A68B22A834F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Dashboard_Obligation!$P$102:$S$102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Dashboard_Obligation!$P$109:$S$109</c:f>
              <c:numCache>
                <c:formatCode>General</c:formatCode>
                <c:ptCount val="4"/>
                <c:pt idx="0">
                  <c:v>0.02</c:v>
                </c:pt>
                <c:pt idx="1">
                  <c:v>96.408839162470727</c:v>
                </c:pt>
                <c:pt idx="2">
                  <c:v>94.996307015262005</c:v>
                </c:pt>
                <c:pt idx="3">
                  <c:v>95.14620507073522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876-4029-9925-A68B22A83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2927"/>
        <c:axId val="879092399"/>
      </c:lineChart>
      <c:catAx>
        <c:axId val="748732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92399"/>
        <c:crosses val="autoZero"/>
        <c:auto val="1"/>
        <c:lblAlgn val="ctr"/>
        <c:lblOffset val="100"/>
        <c:noMultiLvlLbl val="0"/>
      </c:catAx>
      <c:valAx>
        <c:axId val="87909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AXABOND050631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Dashboard_Obligation!$P$113:$S$113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Dashboard_Obligation!$P$114:$S$114</c:f>
              <c:numCache>
                <c:formatCode>General</c:formatCode>
                <c:ptCount val="4"/>
                <c:pt idx="0">
                  <c:v>-0.02</c:v>
                </c:pt>
                <c:pt idx="1">
                  <c:v>109.14045299132603</c:v>
                </c:pt>
                <c:pt idx="2">
                  <c:v>111.9797413546154</c:v>
                </c:pt>
                <c:pt idx="3">
                  <c:v>112.81824226904477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7-47B6-86D3-D7E4DA20B3F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Dashboard_Obligation!$P$113:$S$113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Dashboard_Obligation!$P$115:$S$115</c:f>
              <c:numCache>
                <c:formatCode>General</c:formatCode>
                <c:ptCount val="4"/>
                <c:pt idx="0">
                  <c:v>-0.01</c:v>
                </c:pt>
                <c:pt idx="1">
                  <c:v>104.20542753899926</c:v>
                </c:pt>
                <c:pt idx="2">
                  <c:v>105.98687476829774</c:v>
                </c:pt>
                <c:pt idx="3">
                  <c:v>106.19649999690508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7-47B6-86D3-D7E4DA20B3F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Dashboard_Obligation!$P$113:$S$113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Dashboard_Obligation!$P$116:$S$116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101.84239093803338</c:v>
                </c:pt>
                <c:pt idx="2">
                  <c:v>102.99044147513892</c:v>
                </c:pt>
                <c:pt idx="3">
                  <c:v>103.04284778229075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7-47B6-86D3-D7E4DA20B3F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Dashboard_Obligation!$P$113:$S$113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Dashboard_Obligation!$P$117:$S$117</c:f>
              <c:numCache>
                <c:formatCode>General</c:formatCode>
                <c:ptCount val="4"/>
                <c:pt idx="0">
                  <c:v>0</c:v>
                </c:pt>
                <c:pt idx="1">
                  <c:v>99.545925897633765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37-47B6-86D3-D7E4DA20B3F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Dashboard_Obligation!$P$113:$S$113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Dashboard_Obligation!$P$118:$S$118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97.313832407394713</c:v>
                </c:pt>
                <c:pt idx="2">
                  <c:v>96.997574888821248</c:v>
                </c:pt>
                <c:pt idx="3">
                  <c:v>97.049981195973075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7-47B6-86D3-D7E4DA20B3F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Dashboard_Obligation!$P$113:$S$113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Dashboard_Obligation!$P$119:$S$119</c:f>
              <c:numCache>
                <c:formatCode>General</c:formatCode>
                <c:ptCount val="4"/>
                <c:pt idx="0">
                  <c:v>0.01</c:v>
                </c:pt>
                <c:pt idx="1">
                  <c:v>95.143993496812158</c:v>
                </c:pt>
                <c:pt idx="2">
                  <c:v>94.001141595662418</c:v>
                </c:pt>
                <c:pt idx="3">
                  <c:v>94.210766824269768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37-47B6-86D3-D7E4DA20B3F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Dashboard_Obligation!$P$113:$S$113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Dashboard_Obligation!$P$120:$S$120</c:f>
              <c:numCache>
                <c:formatCode>General</c:formatCode>
                <c:ptCount val="4"/>
                <c:pt idx="0">
                  <c:v>0.02</c:v>
                </c:pt>
                <c:pt idx="1">
                  <c:v>90.983005796135132</c:v>
                </c:pt>
                <c:pt idx="2">
                  <c:v>88.008275009344743</c:v>
                </c:pt>
                <c:pt idx="3">
                  <c:v>88.846775923774118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37-47B6-86D3-D7E4DA20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3327"/>
        <c:axId val="879099471"/>
      </c:lineChart>
      <c:catAx>
        <c:axId val="7487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99471"/>
        <c:crosses val="autoZero"/>
        <c:auto val="1"/>
        <c:lblAlgn val="ctr"/>
        <c:lblOffset val="100"/>
        <c:noMultiLvlLbl val="0"/>
      </c:catAx>
      <c:valAx>
        <c:axId val="87909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SOCIETEGEN050623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Dashboard_Obligation!$P$124:$S$124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Dashboard_Obligation!$P$125:$S$125</c:f>
              <c:numCache>
                <c:formatCode>General</c:formatCode>
                <c:ptCount val="4"/>
                <c:pt idx="0">
                  <c:v>-0.02</c:v>
                </c:pt>
                <c:pt idx="1">
                  <c:v>117.16863878508211</c:v>
                </c:pt>
                <c:pt idx="2">
                  <c:v>120.93511387552461</c:v>
                </c:pt>
                <c:pt idx="3">
                  <c:v>123.2361408845007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FC-46C7-9969-FAD0BDADC77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Dashboard_Obligation!$P$124:$S$124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Dashboard_Obligation!$P$126:$S$126</c:f>
              <c:numCache>
                <c:formatCode>General</c:formatCode>
                <c:ptCount val="4"/>
                <c:pt idx="0">
                  <c:v>-0.01</c:v>
                </c:pt>
                <c:pt idx="1">
                  <c:v>108.17571667229852</c:v>
                </c:pt>
                <c:pt idx="2">
                  <c:v>110.46456102875236</c:v>
                </c:pt>
                <c:pt idx="3">
                  <c:v>111.03981778099637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FC-46C7-9969-FAD0BDADC77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Dashboard_Obligation!$P$124:$S$124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Dashboard_Obligation!$P$127:$S$127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103.99092809249404</c:v>
                </c:pt>
                <c:pt idx="2">
                  <c:v>105.2292846053662</c:v>
                </c:pt>
                <c:pt idx="3">
                  <c:v>105.3730987934272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FC-46C7-9969-FAD0BDADC77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Dashboard_Obligation!$P$124:$S$124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Dashboard_Obligation!$P$128:$S$128</c:f>
              <c:numCache>
                <c:formatCode>General</c:formatCode>
                <c:ptCount val="4"/>
                <c:pt idx="0">
                  <c:v>0</c:v>
                </c:pt>
                <c:pt idx="1">
                  <c:v>100.00000000000014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FC-46C7-9969-FAD0BDADC77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Dashboard_Obligation!$P$124:$S$124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Dashboard_Obligation!$P$129:$S$129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96.19318696655597</c:v>
                </c:pt>
                <c:pt idx="2">
                  <c:v>94.758731758593939</c:v>
                </c:pt>
                <c:pt idx="3">
                  <c:v>94.902545946654939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FC-46C7-9969-FAD0BDADC77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Dashboard_Obligation!$P$124:$S$124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Dashboard_Obligation!$P$130:$S$130</c:f>
              <c:numCache>
                <c:formatCode>General</c:formatCode>
                <c:ptCount val="4"/>
                <c:pt idx="0">
                  <c:v>0.01</c:v>
                </c:pt>
                <c:pt idx="1">
                  <c:v>92.561262569772211</c:v>
                </c:pt>
                <c:pt idx="2">
                  <c:v>89.523455335207814</c:v>
                </c:pt>
                <c:pt idx="3">
                  <c:v>90.09871208745183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FC-46C7-9969-FAD0BDADC77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Dashboard_Obligation!$P$124:$S$124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Dashboard_Obligation!$P$131:$S$131</c:f>
              <c:numCache>
                <c:formatCode>General</c:formatCode>
                <c:ptCount val="4"/>
                <c:pt idx="0">
                  <c:v>0.02</c:v>
                </c:pt>
                <c:pt idx="1">
                  <c:v>85.787596698047807</c:v>
                </c:pt>
                <c:pt idx="2">
                  <c:v>79.052902488435549</c:v>
                </c:pt>
                <c:pt idx="3">
                  <c:v>81.353929497411642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FC-46C7-9969-FAD0BDADC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2527"/>
        <c:axId val="879107791"/>
      </c:lineChart>
      <c:catAx>
        <c:axId val="748732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107791"/>
        <c:crosses val="autoZero"/>
        <c:auto val="1"/>
        <c:lblAlgn val="ctr"/>
        <c:lblOffset val="100"/>
        <c:noMultiLvlLbl val="0"/>
      </c:catAx>
      <c:valAx>
        <c:axId val="87910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ENGIE050634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Dashboard_Obligation!$P$135:$S$135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Dashboard_Obligation!$P$136:$S$136</c:f>
              <c:numCache>
                <c:formatCode>General</c:formatCode>
                <c:ptCount val="4"/>
                <c:pt idx="0">
                  <c:v>-0.02</c:v>
                </c:pt>
                <c:pt idx="1">
                  <c:v>106.04364395407281</c:v>
                </c:pt>
                <c:pt idx="2">
                  <c:v>106.98732841938745</c:v>
                </c:pt>
                <c:pt idx="3">
                  <c:v>107.26693678303023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B6-4EA3-8EDC-AB0469EE2DC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Dashboard_Obligation!$P$135:$S$135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Dashboard_Obligation!$P$137:$S$137</c:f>
              <c:numCache>
                <c:formatCode>General</c:formatCode>
                <c:ptCount val="4"/>
                <c:pt idx="0">
                  <c:v>-0.01</c:v>
                </c:pt>
                <c:pt idx="1">
                  <c:v>103.11222195455636</c:v>
                </c:pt>
                <c:pt idx="2">
                  <c:v>103.49066830068375</c:v>
                </c:pt>
                <c:pt idx="3">
                  <c:v>103.56057039159445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B6-4EA3-8EDC-AB0469EE2DC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Dashboard_Obligation!$P$135:$S$135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Dashboard_Obligation!$P$138:$S$138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101.68326847061172</c:v>
                </c:pt>
                <c:pt idx="2">
                  <c:v>101.74233824133192</c:v>
                </c:pt>
                <c:pt idx="3">
                  <c:v>101.75981376405959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B6-4EA3-8EDC-AB0469EE2DC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Dashboard_Obligation!$P$135:$S$135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Dashboard_Obligation!$P$139:$S$139</c:f>
              <c:numCache>
                <c:formatCode>General</c:formatCode>
                <c:ptCount val="4"/>
                <c:pt idx="0">
                  <c:v>0</c:v>
                </c:pt>
                <c:pt idx="1">
                  <c:v>100.27819095451135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B6-4EA3-8EDC-AB0469EE2DC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Dashboard_Obligation!$P$135:$S$135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Dashboard_Obligation!$P$140:$S$140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98.896530417930705</c:v>
                </c:pt>
                <c:pt idx="2">
                  <c:v>98.245678122628235</c:v>
                </c:pt>
                <c:pt idx="3">
                  <c:v>98.263153645355914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B6-4EA3-8EDC-AB0469EE2DC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Dashboard_Obligation!$P$135:$S$135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Dashboard_Obligation!$P$141:$S$141</c:f>
              <c:numCache>
                <c:formatCode>General</c:formatCode>
                <c:ptCount val="4"/>
                <c:pt idx="0">
                  <c:v>0.01</c:v>
                </c:pt>
                <c:pt idx="1">
                  <c:v>97.537837811565353</c:v>
                </c:pt>
                <c:pt idx="2">
                  <c:v>96.497348063276391</c:v>
                </c:pt>
                <c:pt idx="3">
                  <c:v>96.567250154187079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B6-4EA3-8EDC-AB0469EE2DC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Dashboard_Obligation!$P$135:$S$135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Dashboard_Obligation!$P$142:$S$142</c:f>
              <c:numCache>
                <c:formatCode>General</c:formatCode>
                <c:ptCount val="4"/>
                <c:pt idx="0">
                  <c:v>0.02</c:v>
                </c:pt>
                <c:pt idx="1">
                  <c:v>94.887608459677111</c:v>
                </c:pt>
                <c:pt idx="2">
                  <c:v>93.000687944572718</c:v>
                </c:pt>
                <c:pt idx="3">
                  <c:v>93.280296308215483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0B6-4EA3-8EDC-AB0469EE2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3727"/>
        <c:axId val="879087407"/>
      </c:lineChart>
      <c:catAx>
        <c:axId val="748733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87407"/>
        <c:crosses val="autoZero"/>
        <c:auto val="1"/>
        <c:lblAlgn val="ctr"/>
        <c:lblOffset val="100"/>
        <c:noMultiLvlLbl val="0"/>
      </c:catAx>
      <c:valAx>
        <c:axId val="87908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3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CREDITLYON050635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Dashboard_Obligation!$P$146:$S$146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Dashboard_Obligation!$P$147:$S$147</c:f>
              <c:numCache>
                <c:formatCode>General</c:formatCode>
                <c:ptCount val="4"/>
                <c:pt idx="0">
                  <c:v>-0.02</c:v>
                </c:pt>
                <c:pt idx="1">
                  <c:v>108.05478647205049</c:v>
                </c:pt>
                <c:pt idx="2">
                  <c:v>109.98211977775375</c:v>
                </c:pt>
                <c:pt idx="3">
                  <c:v>110.58103308740262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E-4841-BBF2-78D7E3932DD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Dashboard_Obligation!$P$146:$S$146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Dashboard_Obligation!$P$148:$S$148</c:f>
              <c:numCache>
                <c:formatCode>General</c:formatCode>
                <c:ptCount val="4"/>
                <c:pt idx="0">
                  <c:v>-0.01</c:v>
                </c:pt>
                <c:pt idx="1">
                  <c:v>104.1183116647336</c:v>
                </c:pt>
                <c:pt idx="2">
                  <c:v>104.98806397986692</c:v>
                </c:pt>
                <c:pt idx="3">
                  <c:v>105.13779230727916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9E-4841-BBF2-78D7E3932DD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Dashboard_Obligation!$P$146:$S$146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Dashboard_Obligation!$P$149:$S$149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102.21963348705735</c:v>
                </c:pt>
                <c:pt idx="2">
                  <c:v>102.49103608092349</c:v>
                </c:pt>
                <c:pt idx="3">
                  <c:v>102.52846816277655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9E-4841-BBF2-78D7E3932DD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Dashboard_Obligation!$P$146:$S$146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Dashboard_Obligation!$P$150:$S$150</c:f>
              <c:numCache>
                <c:formatCode>General</c:formatCode>
                <c:ptCount val="4"/>
                <c:pt idx="0">
                  <c:v>0</c:v>
                </c:pt>
                <c:pt idx="1">
                  <c:v>100.36557065660845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9E-4841-BBF2-78D7E3932DD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Dashboard_Obligation!$P$146:$S$146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Dashboard_Obligation!$P$151:$S$151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98.554859672169144</c:v>
                </c:pt>
                <c:pt idx="2">
                  <c:v>97.496980283036649</c:v>
                </c:pt>
                <c:pt idx="3">
                  <c:v>97.534412364889704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9E-4841-BBF2-78D7E3932DD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Dashboard_Obligation!$P$146:$S$146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Dashboard_Obligation!$P$152:$S$152</c:f>
              <c:numCache>
                <c:formatCode>General</c:formatCode>
                <c:ptCount val="4"/>
                <c:pt idx="0">
                  <c:v>0.01</c:v>
                </c:pt>
                <c:pt idx="1">
                  <c:v>96.786278733695582</c:v>
                </c:pt>
                <c:pt idx="2">
                  <c:v>94.999952384093248</c:v>
                </c:pt>
                <c:pt idx="3">
                  <c:v>95.149680711505468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39E-4841-BBF2-78D7E3932DD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Dashboard_Obligation!$P$146:$S$146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Dashboard_Obligation!$P$153:$S$153</c:f>
              <c:numCache>
                <c:formatCode>General</c:formatCode>
                <c:ptCount val="4"/>
                <c:pt idx="0">
                  <c:v>0.02</c:v>
                </c:pt>
                <c:pt idx="1">
                  <c:v>93.37081895595658</c:v>
                </c:pt>
                <c:pt idx="2">
                  <c:v>90.00589658620639</c:v>
                </c:pt>
                <c:pt idx="3">
                  <c:v>90.604809895855269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39E-4841-BBF2-78D7E3932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4127"/>
        <c:axId val="879105711"/>
      </c:lineChart>
      <c:catAx>
        <c:axId val="74873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105711"/>
        <c:crosses val="autoZero"/>
        <c:auto val="1"/>
        <c:lblAlgn val="ctr"/>
        <c:lblOffset val="100"/>
        <c:noMultiLvlLbl val="0"/>
      </c:catAx>
      <c:valAx>
        <c:axId val="87910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 vs  taux - BNPBOND050636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Dashboard_Obligation!$P$157:$S$157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Dashboard_Obligation!$P$158:$S$158</c:f>
              <c:numCache>
                <c:formatCode>General</c:formatCode>
                <c:ptCount val="4"/>
                <c:pt idx="0">
                  <c:v>-0.02</c:v>
                </c:pt>
                <c:pt idx="1">
                  <c:v>110.62507473872836</c:v>
                </c:pt>
                <c:pt idx="2">
                  <c:v>112.97452899413496</c:v>
                </c:pt>
                <c:pt idx="3">
                  <c:v>113.88260224264425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8-4AB9-BB75-1C7050571F8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Dashboard_Obligation!$P$157:$S$157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Dashboard_Obligation!$P$159:$S$159</c:f>
              <c:numCache>
                <c:formatCode>General</c:formatCode>
                <c:ptCount val="4"/>
                <c:pt idx="0">
                  <c:v>-0.01</c:v>
                </c:pt>
                <c:pt idx="1">
                  <c:v>104.87794004127933</c:v>
                </c:pt>
                <c:pt idx="2">
                  <c:v>106.4842685880575</c:v>
                </c:pt>
                <c:pt idx="3">
                  <c:v>106.71128690018482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B8-4AB9-BB75-1C7050571F8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Dashboard_Obligation!$P$157:$S$157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Dashboard_Obligation!$P$160:$S$160</c:f>
              <c:numCache>
                <c:formatCode>General</c:formatCode>
                <c:ptCount val="4"/>
                <c:pt idx="0">
                  <c:v>-5.0000000000000001E-3</c:v>
                </c:pt>
                <c:pt idx="1">
                  <c:v>102.13468447620454</c:v>
                </c:pt>
                <c:pt idx="2">
                  <c:v>103.2391383850188</c:v>
                </c:pt>
                <c:pt idx="3">
                  <c:v>103.29589296305063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B8-4AB9-BB75-1C7050571F8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Dashboard_Obligation!$P$157:$S$157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Dashboard_Obligation!$P$161:$S$161</c:f>
              <c:numCache>
                <c:formatCode>General</c:formatCode>
                <c:ptCount val="4"/>
                <c:pt idx="0">
                  <c:v>0</c:v>
                </c:pt>
                <c:pt idx="1">
                  <c:v>99.474465785872638</c:v>
                </c:pt>
                <c:pt idx="2">
                  <c:v>99.994008181980078</c:v>
                </c:pt>
                <c:pt idx="3">
                  <c:v>99.994008181980078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B8-4AB9-BB75-1C7050571F8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Dashboard_Obligation!$P$157:$S$157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Dashboard_Obligation!$P$162:$S$162</c:f>
              <c:numCache>
                <c:formatCode>General</c:formatCode>
                <c:ptCount val="4"/>
                <c:pt idx="0">
                  <c:v>5.0000000000000001E-3</c:v>
                </c:pt>
                <c:pt idx="1">
                  <c:v>96.894534180983584</c:v>
                </c:pt>
                <c:pt idx="2">
                  <c:v>96.748877978941366</c:v>
                </c:pt>
                <c:pt idx="3">
                  <c:v>96.805632556973194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B8-4AB9-BB75-1C7050571F8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Dashboard_Obligation!$P$157:$S$157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Dashboard_Obligation!$P$163:$S$163</c:f>
              <c:numCache>
                <c:formatCode>General</c:formatCode>
                <c:ptCount val="4"/>
                <c:pt idx="0">
                  <c:v>0.01</c:v>
                </c:pt>
                <c:pt idx="1">
                  <c:v>94.392237925586386</c:v>
                </c:pt>
                <c:pt idx="2">
                  <c:v>93.503747775902639</c:v>
                </c:pt>
                <c:pt idx="3">
                  <c:v>93.730766088029966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B8-4AB9-BB75-1C7050571F8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Dashboard_Obligation!$P$157:$S$157</c:f>
              <c:strCache>
                <c:ptCount val="4"/>
                <c:pt idx="0">
                  <c:v>? Taux</c:v>
                </c:pt>
                <c:pt idx="1">
                  <c:v>Prix exact</c:v>
                </c:pt>
                <c:pt idx="2">
                  <c:v>Prix Duration</c:v>
                </c:pt>
                <c:pt idx="3">
                  <c:v>Prix Duration+Conv</c:v>
                </c:pt>
              </c:strCache>
            </c:strRef>
          </c:cat>
          <c:val>
            <c:numRef>
              <c:f>Dashboard_Obligation!$P$164:$S$164</c:f>
              <c:numCache>
                <c:formatCode>General</c:formatCode>
                <c:ptCount val="4"/>
                <c:pt idx="0">
                  <c:v>0.02</c:v>
                </c:pt>
                <c:pt idx="1">
                  <c:v>89.610412530250244</c:v>
                </c:pt>
                <c:pt idx="2">
                  <c:v>87.013487369825214</c:v>
                </c:pt>
                <c:pt idx="3">
                  <c:v>87.92156061833451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B8-4AB9-BB75-1C7050571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30527"/>
        <c:axId val="879088655"/>
      </c:lineChart>
      <c:catAx>
        <c:axId val="7487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Taux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9088655"/>
        <c:crosses val="autoZero"/>
        <c:auto val="1"/>
        <c:lblAlgn val="ctr"/>
        <c:lblOffset val="100"/>
        <c:noMultiLvlLbl val="0"/>
      </c:catAx>
      <c:valAx>
        <c:axId val="87908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73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Sensibilité du portefeuille par pilier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Duration</c:v>
          </c:tx>
          <c:cat>
            <c:strRef>
              <c:f>Piliers!$A$2:$A$14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  <c:pt idx="12">
                  <c:v>30Y</c:v>
                </c:pt>
              </c:strCache>
            </c:strRef>
          </c:cat>
          <c:val>
            <c:numRef>
              <c:f>Piliers!$E$2:$E$14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0.970873786407767</c:v>
                </c:pt>
                <c:pt idx="4">
                  <c:v>1.941747572815534</c:v>
                </c:pt>
                <c:pt idx="5">
                  <c:v>2.9126213592233001</c:v>
                </c:pt>
                <c:pt idx="6">
                  <c:v>3.883495145631068</c:v>
                </c:pt>
                <c:pt idx="7">
                  <c:v>4.8543689320388355</c:v>
                </c:pt>
                <c:pt idx="8">
                  <c:v>6.7961165048543659</c:v>
                </c:pt>
                <c:pt idx="9">
                  <c:v>9.7087378640776674</c:v>
                </c:pt>
                <c:pt idx="10">
                  <c:v>14.563106796116502</c:v>
                </c:pt>
                <c:pt idx="11">
                  <c:v>19.417475728155342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1F7-8ED3-D29225238244}"/>
            </c:ext>
          </c:extLst>
        </c:ser>
        <c:ser>
          <c:idx val="1"/>
          <c:order val="1"/>
          <c:tx>
            <c:v>Convexité</c:v>
          </c:tx>
          <c:cat>
            <c:strRef>
              <c:f>Piliers!$A$2:$A$14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  <c:pt idx="12">
                  <c:v>30Y</c:v>
                </c:pt>
              </c:strCache>
            </c:strRef>
          </c:cat>
          <c:val>
            <c:numRef>
              <c:f>Piliers!$F$2:$F$14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1.8851918182675087</c:v>
                </c:pt>
                <c:pt idx="4">
                  <c:v>5.6555754548025261</c:v>
                </c:pt>
                <c:pt idx="5">
                  <c:v>11.31115090960505</c:v>
                </c:pt>
                <c:pt idx="6">
                  <c:v>18.851918182675089</c:v>
                </c:pt>
                <c:pt idx="7">
                  <c:v>28.277877274012621</c:v>
                </c:pt>
                <c:pt idx="8">
                  <c:v>52.785370911490233</c:v>
                </c:pt>
                <c:pt idx="9">
                  <c:v>103.68555000471297</c:v>
                </c:pt>
                <c:pt idx="10">
                  <c:v>226.22301819210102</c:v>
                </c:pt>
                <c:pt idx="11">
                  <c:v>395.89028183617688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49-41F7-8ED3-D29225238244}"/>
            </c:ext>
          </c:extLst>
        </c:ser>
        <c:ser>
          <c:idx val="2"/>
          <c:order val="2"/>
          <c:smooth val="0"/>
          <c:extLst>
            <c:ext xmlns:c16="http://schemas.microsoft.com/office/drawing/2014/chart" uri="{C3380CC4-5D6E-409C-BE32-E72D297353CC}">
              <c16:uniqueId val="{00000002-E849-41F7-8ED3-D29225238244}"/>
            </c:ext>
          </c:extLst>
        </c:ser>
        <c:ser>
          <c:idx val="3"/>
          <c:order val="3"/>
          <c:smooth val="0"/>
          <c:extLst>
            <c:ext xmlns:c16="http://schemas.microsoft.com/office/drawing/2014/chart" uri="{C3380CC4-5D6E-409C-BE32-E72D297353CC}">
              <c16:uniqueId val="{00000003-E849-41F7-8ED3-D2922523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0004815"/>
        <c:axId val="931962431"/>
      </c:lineChart>
      <c:catAx>
        <c:axId val="940004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Pilier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1962431"/>
        <c:crosses val="autoZero"/>
        <c:auto val="1"/>
        <c:lblAlgn val="ctr"/>
        <c:lblOffset val="100"/>
        <c:noMultiLvlLbl val="0"/>
      </c:catAx>
      <c:valAx>
        <c:axId val="9319624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40004815"/>
        <c:crosses val="autoZero"/>
        <c:crossBetween val="between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P&amp;L d’une variation +1% du taux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Impact +1% taux</c:v>
          </c:tx>
          <c:invertIfNegative val="0"/>
          <c:cat>
            <c:strRef>
              <c:f>Piliers!$A$2:$A$14</c:f>
              <c:strCache>
                <c:ptCount val="13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  <c:pt idx="12">
                  <c:v>30Y</c:v>
                </c:pt>
              </c:strCache>
            </c:strRef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-1.4982305402581773</c:v>
              </c:pt>
              <c:pt idx="4">
                <c:v>-2.76554361876466</c:v>
              </c:pt>
              <c:pt idx="5">
                <c:v>-3.8295917849869703</c:v>
              </c:pt>
              <c:pt idx="6">
                <c:v>-39.808579023570218</c:v>
              </c:pt>
              <c:pt idx="7">
                <c:v>-63.985335488518103</c:v>
              </c:pt>
              <c:pt idx="8">
                <c:v>-57.90671066355776</c:v>
              </c:pt>
              <c:pt idx="9">
                <c:v>-28.750301851336133</c:v>
              </c:pt>
              <c:pt idx="10">
                <c:v>-32.361547898555301</c:v>
              </c:pt>
              <c:pt idx="11">
                <c:v>-39.156247979413841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BDF-4E74-AC3D-B60591F1B926}"/>
            </c:ext>
          </c:extLst>
        </c:ser>
        <c:ser>
          <c:idx val="1"/>
          <c:order val="1"/>
          <c:invertIfNegative val="0"/>
          <c:extLst>
            <c:ext xmlns:c16="http://schemas.microsoft.com/office/drawing/2014/chart" uri="{C3380CC4-5D6E-409C-BE32-E72D297353CC}">
              <c16:uniqueId val="{00000001-BBDF-4E74-AC3D-B60591F1B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9996815"/>
        <c:axId val="931954111"/>
      </c:barChart>
      <c:catAx>
        <c:axId val="93999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Pilier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1954111"/>
        <c:crosses val="autoZero"/>
        <c:auto val="1"/>
        <c:lblAlgn val="ctr"/>
        <c:lblOffset val="100"/>
        <c:noMultiLvlLbl val="0"/>
      </c:catAx>
      <c:valAx>
        <c:axId val="9319541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9996815"/>
        <c:crosses val="autoZero"/>
        <c:crossBetween val="between"/>
      </c:valAx>
    </c:plotArea>
    <c:legend>
      <c:legendPos val="b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1097280</xdr:colOff>
          <xdr:row>13</xdr:row>
          <xdr:rowOff>121920</xdr:rowOff>
        </xdr:from>
        <xdr:to>
          <xdr:col>2</xdr:col>
          <xdr:colOff>91440</xdr:colOff>
          <xdr:row>17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cet onglet</a:t>
              </a:r>
            </a:p>
            <a:p>
              <a:pPr algn="ctr" rtl="0">
                <a:defRPr sz="1000"/>
              </a:pPr>
              <a:endParaRPr lang="fr-FR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613410</xdr:colOff>
      <xdr:row>0</xdr:row>
      <xdr:rowOff>0</xdr:rowOff>
    </xdr:from>
    <xdr:to>
      <xdr:col>25</xdr:col>
      <xdr:colOff>373380</xdr:colOff>
      <xdr:row>15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10</xdr:row>
      <xdr:rowOff>3810</xdr:rowOff>
    </xdr:from>
    <xdr:to>
      <xdr:col>14</xdr:col>
      <xdr:colOff>601980</xdr:colOff>
      <xdr:row>25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651510</xdr:colOff>
      <xdr:row>20</xdr:row>
      <xdr:rowOff>99060</xdr:rowOff>
    </xdr:from>
    <xdr:to>
      <xdr:col>25</xdr:col>
      <xdr:colOff>411480</xdr:colOff>
      <xdr:row>35</xdr:row>
      <xdr:rowOff>99060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803910</xdr:colOff>
      <xdr:row>33</xdr:row>
      <xdr:rowOff>127635</xdr:rowOff>
    </xdr:from>
    <xdr:to>
      <xdr:col>14</xdr:col>
      <xdr:colOff>621030</xdr:colOff>
      <xdr:row>48</xdr:row>
      <xdr:rowOff>127635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632460</xdr:colOff>
      <xdr:row>42</xdr:row>
      <xdr:rowOff>175260</xdr:rowOff>
    </xdr:from>
    <xdr:to>
      <xdr:col>25</xdr:col>
      <xdr:colOff>392430</xdr:colOff>
      <xdr:row>57</xdr:row>
      <xdr:rowOff>175260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480060</xdr:colOff>
      <xdr:row>54</xdr:row>
      <xdr:rowOff>137160</xdr:rowOff>
    </xdr:from>
    <xdr:to>
      <xdr:col>14</xdr:col>
      <xdr:colOff>297180</xdr:colOff>
      <xdr:row>69</xdr:row>
      <xdr:rowOff>137160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670560</xdr:colOff>
      <xdr:row>65</xdr:row>
      <xdr:rowOff>118110</xdr:rowOff>
    </xdr:from>
    <xdr:to>
      <xdr:col>25</xdr:col>
      <xdr:colOff>430530</xdr:colOff>
      <xdr:row>80</xdr:row>
      <xdr:rowOff>118110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232410</xdr:colOff>
      <xdr:row>75</xdr:row>
      <xdr:rowOff>156210</xdr:rowOff>
    </xdr:from>
    <xdr:to>
      <xdr:col>14</xdr:col>
      <xdr:colOff>49530</xdr:colOff>
      <xdr:row>90</xdr:row>
      <xdr:rowOff>156210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708660</xdr:colOff>
      <xdr:row>87</xdr:row>
      <xdr:rowOff>41910</xdr:rowOff>
    </xdr:from>
    <xdr:to>
      <xdr:col>25</xdr:col>
      <xdr:colOff>468630</xdr:colOff>
      <xdr:row>102</xdr:row>
      <xdr:rowOff>41910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232410</xdr:colOff>
      <xdr:row>97</xdr:row>
      <xdr:rowOff>60960</xdr:rowOff>
    </xdr:from>
    <xdr:to>
      <xdr:col>14</xdr:col>
      <xdr:colOff>49530</xdr:colOff>
      <xdr:row>112</xdr:row>
      <xdr:rowOff>60960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727710</xdr:colOff>
      <xdr:row>108</xdr:row>
      <xdr:rowOff>156210</xdr:rowOff>
    </xdr:from>
    <xdr:to>
      <xdr:col>25</xdr:col>
      <xdr:colOff>487680</xdr:colOff>
      <xdr:row>123</xdr:row>
      <xdr:rowOff>156210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289560</xdr:colOff>
      <xdr:row>119</xdr:row>
      <xdr:rowOff>137160</xdr:rowOff>
    </xdr:from>
    <xdr:to>
      <xdr:col>14</xdr:col>
      <xdr:colOff>106680</xdr:colOff>
      <xdr:row>134</xdr:row>
      <xdr:rowOff>137160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689610</xdr:colOff>
      <xdr:row>131</xdr:row>
      <xdr:rowOff>80010</xdr:rowOff>
    </xdr:from>
    <xdr:to>
      <xdr:col>25</xdr:col>
      <xdr:colOff>449580</xdr:colOff>
      <xdr:row>146</xdr:row>
      <xdr:rowOff>80010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76200</xdr:colOff>
      <xdr:row>141</xdr:row>
      <xdr:rowOff>91440</xdr:rowOff>
    </xdr:from>
    <xdr:to>
      <xdr:col>13</xdr:col>
      <xdr:colOff>689610</xdr:colOff>
      <xdr:row>156</xdr:row>
      <xdr:rowOff>91440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68580</xdr:colOff>
      <xdr:row>155</xdr:row>
      <xdr:rowOff>83820</xdr:rowOff>
    </xdr:from>
    <xdr:to>
      <xdr:col>25</xdr:col>
      <xdr:colOff>643890</xdr:colOff>
      <xdr:row>170</xdr:row>
      <xdr:rowOff>83820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19</xdr:row>
          <xdr:rowOff>76200</xdr:rowOff>
        </xdr:from>
        <xdr:to>
          <xdr:col>7</xdr:col>
          <xdr:colOff>571500</xdr:colOff>
          <xdr:row>25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cet onglet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60960</xdr:rowOff>
        </xdr:from>
        <xdr:to>
          <xdr:col>6</xdr:col>
          <xdr:colOff>746760</xdr:colOff>
          <xdr:row>13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cet onglet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</xdr:row>
          <xdr:rowOff>53340</xdr:rowOff>
        </xdr:from>
        <xdr:to>
          <xdr:col>5</xdr:col>
          <xdr:colOff>525780</xdr:colOff>
          <xdr:row>24</xdr:row>
          <xdr:rowOff>83820</xdr:rowOff>
        </xdr:to>
        <xdr:sp macro="" textlink="">
          <xdr:nvSpPr>
            <xdr:cNvPr id="5121" name="Tout Mettre à Jou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cet onglet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17</xdr:row>
          <xdr:rowOff>7620</xdr:rowOff>
        </xdr:from>
        <xdr:to>
          <xdr:col>3</xdr:col>
          <xdr:colOff>510540</xdr:colOff>
          <xdr:row>22</xdr:row>
          <xdr:rowOff>137160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rapports par obligations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678180</xdr:colOff>
      <xdr:row>3</xdr:row>
      <xdr:rowOff>27940</xdr:rowOff>
    </xdr:from>
    <xdr:to>
      <xdr:col>13</xdr:col>
      <xdr:colOff>513080</xdr:colOff>
      <xdr:row>23</xdr:row>
      <xdr:rowOff>180340</xdr:rowOff>
    </xdr:to>
    <xdr:graphicFrame macro="">
      <xdr:nvGraphicFramePr>
        <xdr:cNvPr id="4" name="Graph_Sensibilit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624840</xdr:colOff>
      <xdr:row>24</xdr:row>
      <xdr:rowOff>175260</xdr:rowOff>
    </xdr:from>
    <xdr:to>
      <xdr:col>13</xdr:col>
      <xdr:colOff>459740</xdr:colOff>
      <xdr:row>45</xdr:row>
      <xdr:rowOff>144780</xdr:rowOff>
    </xdr:to>
    <xdr:graphicFrame macro="">
      <xdr:nvGraphicFramePr>
        <xdr:cNvPr id="5" name="Graph_PL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0B1F3E-F1C5-4AF0-A637-927C23C60ACE}" name="Tableau1" displayName="Tableau1" ref="A5:B11" totalsRowShown="0">
  <autoFilter ref="A5:B11" xr:uid="{D8CF260F-6906-40C3-9E45-D888357B6716}"/>
  <tableColumns count="2">
    <tableColumn id="1" xr3:uid="{C9792B66-4F1A-49D0-B90F-E3517400C62B}" name="Label" dataDxfId="18"/>
    <tableColumn id="2" xr3:uid="{DBAB526D-0FE9-47E9-B806-81DA98778FA3}" name="Valeu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511F3F-A82B-49DA-AB1C-B7B830D1743A}" name="Tableau2" displayName="Tableau2" ref="A1:L16" totalsRowShown="0" headerRowDxfId="17" headerRowBorderDxfId="16" tableBorderDxfId="15" totalsRowBorderDxfId="14">
  <autoFilter ref="A1:L16" xr:uid="{2C90EA74-6DC4-4F1E-8607-28ED4FA39172}"/>
  <tableColumns count="12">
    <tableColumn id="1" xr3:uid="{678A2A2E-E43B-41BF-B5BC-F3EE8EAAB4DB}" name="ID" dataDxfId="13"/>
    <tableColumn id="2" xr3:uid="{B9ED1197-6727-4C80-BF95-A3FF23F8006C}" name="Nom" dataDxfId="12"/>
    <tableColumn id="3" xr3:uid="{1FD04230-F0B8-4354-8EFC-ABA002808445}" name="Nominal" dataDxfId="11"/>
    <tableColumn id="4" xr3:uid="{21C102B9-4876-4654-9C1F-F6A8FC59DAB7}" name="Coupon (en %)" dataDxfId="10"/>
    <tableColumn id="5" xr3:uid="{71F6B490-A9A2-4752-B018-D8B9EA29749B}" name="Maturité (Année)" dataDxfId="9"/>
    <tableColumn id="6" xr3:uid="{0679C51E-FB61-40D3-89D2-19023B8CE8DF}" name="Fréquence" dataDxfId="8"/>
    <tableColumn id="7" xr3:uid="{4CC04ED9-2974-482F-B287-3CEC0A30E897}" name="Taux Marché (en %)" dataDxfId="7"/>
    <tableColumn id="8" xr3:uid="{B325DAFF-14F9-4544-9417-506133563793}" name="Nombre dans le portefeuille" dataDxfId="6"/>
    <tableColumn id="10" xr3:uid="{85A7E646-3B89-4A89-BC24-A8F692D1BAFE}" name="Prix Obligation" dataDxfId="5"/>
    <tableColumn id="11" xr3:uid="{AFC97B71-65C6-4A7C-BA1B-82EC829089E0}" name="YTM" dataDxfId="4"/>
    <tableColumn id="12" xr3:uid="{2F97F7A3-FD08-486C-B993-69ED6C23E240}" name="Duration" dataDxfId="3"/>
    <tableColumn id="13" xr3:uid="{79F9EC74-FB98-4676-8A25-76C648D747CB}" name="Convexite" dataDxfId="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6AF3ED-A07A-4997-B3CF-02D8F514C0C3}" name="Tableau5" displayName="Tableau5" ref="A1:C142" totalsRowShown="0">
  <autoFilter ref="A1:C142" xr:uid="{4AA582FA-07B0-4E0D-9EFA-7E26B107E0E4}"/>
  <tableColumns count="3">
    <tableColumn id="1" xr3:uid="{3F1ABF19-EB89-4651-86C6-86A24B4AF644}" name="Nom Oblig"/>
    <tableColumn id="2" xr3:uid="{FB19CF0E-04B8-4194-989A-39C5C0A85073}" name="Période"/>
    <tableColumn id="3" xr3:uid="{55265EB8-B375-4994-BAD8-90012AB498C4}" name="Flux Actualisé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AE7F0-3B4D-4F29-9BA3-C43B6845F540}" name="Tableau3" displayName="Tableau3" ref="A1:F14" totalsRowShown="0" tableBorderDxfId="1">
  <autoFilter ref="A1:F14" xr:uid="{6421D54D-F9CE-4509-BDC4-AA14DA455BAD}"/>
  <tableColumns count="6">
    <tableColumn id="1" xr3:uid="{211271EF-40D4-450A-92C3-E821434357B8}" name="Pilier" dataDxfId="0"/>
    <tableColumn id="2" xr3:uid="{90F73687-EB3F-40E2-8F4B-CF9C5EB6A73B}" name="Maturité (années)"/>
    <tableColumn id="3" xr3:uid="{6C481D42-4451-4936-BCFE-8C17E12F6268}" name="Flux projeté"/>
    <tableColumn id="4" xr3:uid="{29618393-E463-4D4F-893A-A63EEEF91E61}" name="PV (actualisé)"/>
    <tableColumn id="5" xr3:uid="{660786B8-A404-4BED-A462-0692E0EC20C1}" name="Duration (années, modifiée)"/>
    <tableColumn id="6" xr3:uid="{6E9D8785-0608-44C0-933A-9AEB7B3B3281}" name="Convexité (années^2)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0D58-9AE1-454E-A624-602D288DD900}">
  <sheetPr codeName="Feuil1"/>
  <dimension ref="A1:S30"/>
  <sheetViews>
    <sheetView tabSelected="1" workbookViewId="0">
      <selection activeCell="I18" sqref="I18"/>
    </sheetView>
  </sheetViews>
  <sheetFormatPr baseColWidth="10" defaultRowHeight="14.4" x14ac:dyDescent="0.3"/>
  <cols>
    <col min="1" max="1" width="17.44140625" bestFit="1" customWidth="1"/>
    <col min="8" max="8" width="12.77734375" bestFit="1" customWidth="1"/>
  </cols>
  <sheetData>
    <row r="1" spans="1:19" x14ac:dyDescent="0.3">
      <c r="A1" s="70" t="s">
        <v>93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2"/>
    </row>
    <row r="2" spans="1:19" ht="15" thickBot="1" x14ac:dyDescent="0.3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</row>
    <row r="3" spans="1:19" s="60" customFormat="1" ht="15" thickBot="1" x14ac:dyDescent="0.35">
      <c r="A3" s="57"/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</row>
    <row r="4" spans="1:19" ht="15" thickBot="1" x14ac:dyDescent="0.35">
      <c r="A4" s="55" t="s">
        <v>3</v>
      </c>
      <c r="B4" s="56"/>
      <c r="H4" s="52" t="s">
        <v>94</v>
      </c>
      <c r="I4" s="53"/>
    </row>
    <row r="5" spans="1:19" ht="15" thickBot="1" x14ac:dyDescent="0.35">
      <c r="A5" s="3" t="s">
        <v>4</v>
      </c>
      <c r="B5" t="s">
        <v>0</v>
      </c>
      <c r="E5" s="5" t="s">
        <v>11</v>
      </c>
      <c r="H5" s="6" t="s">
        <v>9</v>
      </c>
      <c r="I5" s="8">
        <v>124.51943581073621</v>
      </c>
    </row>
    <row r="6" spans="1:19" x14ac:dyDescent="0.3">
      <c r="A6" s="1" t="s">
        <v>5</v>
      </c>
      <c r="B6" t="s">
        <v>12</v>
      </c>
      <c r="E6" s="10">
        <v>2.1728395061728398</v>
      </c>
      <c r="H6" s="14" t="s">
        <v>15</v>
      </c>
      <c r="I6" s="13">
        <v>5.0000011920928955</v>
      </c>
    </row>
    <row r="7" spans="1:19" x14ac:dyDescent="0.3">
      <c r="A7" s="1" t="s">
        <v>6</v>
      </c>
      <c r="B7">
        <v>110</v>
      </c>
      <c r="E7" s="10">
        <v>2.1460143270842864</v>
      </c>
      <c r="H7" s="14" t="s">
        <v>13</v>
      </c>
      <c r="I7" s="13">
        <v>4.3473560075805695</v>
      </c>
    </row>
    <row r="8" spans="1:19" ht="15" thickBot="1" x14ac:dyDescent="0.35">
      <c r="A8" s="1" t="s">
        <v>7</v>
      </c>
      <c r="B8">
        <v>0.08</v>
      </c>
      <c r="E8" s="10">
        <v>2.119520323046209</v>
      </c>
      <c r="H8" s="7" t="s">
        <v>14</v>
      </c>
      <c r="I8" s="9">
        <v>22.156854601975002</v>
      </c>
    </row>
    <row r="9" spans="1:19" x14ac:dyDescent="0.3">
      <c r="A9" s="1" t="s">
        <v>8</v>
      </c>
      <c r="B9">
        <v>5</v>
      </c>
      <c r="E9" s="10">
        <v>2.0933534054777372</v>
      </c>
    </row>
    <row r="10" spans="1:19" x14ac:dyDescent="0.3">
      <c r="A10" s="1" t="s">
        <v>1</v>
      </c>
      <c r="B10">
        <v>4</v>
      </c>
      <c r="E10" s="10">
        <v>2.0675095362743083</v>
      </c>
    </row>
    <row r="11" spans="1:19" ht="15" thickBot="1" x14ac:dyDescent="0.35">
      <c r="A11" s="2" t="s">
        <v>2</v>
      </c>
      <c r="B11">
        <v>0.05</v>
      </c>
      <c r="E11" s="10">
        <v>2.0419847271845022</v>
      </c>
    </row>
    <row r="12" spans="1:19" x14ac:dyDescent="0.3">
      <c r="E12" s="10">
        <v>2.0167750391945702</v>
      </c>
    </row>
    <row r="13" spans="1:19" x14ac:dyDescent="0.3">
      <c r="E13" s="10">
        <v>1.9918765819205633</v>
      </c>
    </row>
    <row r="14" spans="1:19" x14ac:dyDescent="0.3">
      <c r="E14" s="10">
        <v>1.9672855130079636</v>
      </c>
    </row>
    <row r="15" spans="1:19" x14ac:dyDescent="0.3">
      <c r="E15" s="10">
        <v>1.9429980375387299</v>
      </c>
    </row>
    <row r="16" spans="1:19" x14ac:dyDescent="0.3">
      <c r="E16" s="10">
        <v>1.9190104074456591</v>
      </c>
    </row>
    <row r="17" spans="5:7" x14ac:dyDescent="0.3">
      <c r="E17" s="10">
        <v>1.8953189209339842</v>
      </c>
      <c r="G17" s="12"/>
    </row>
    <row r="18" spans="5:7" x14ac:dyDescent="0.3">
      <c r="E18" s="10">
        <v>1.8719199219101079</v>
      </c>
    </row>
    <row r="19" spans="5:7" x14ac:dyDescent="0.3">
      <c r="E19" s="10">
        <v>1.8488097994173907</v>
      </c>
    </row>
    <row r="20" spans="5:7" x14ac:dyDescent="0.3">
      <c r="E20" s="10">
        <v>1.8259849870789047</v>
      </c>
    </row>
    <row r="21" spans="5:7" x14ac:dyDescent="0.3">
      <c r="E21" s="10">
        <v>1.8034419625470663</v>
      </c>
    </row>
    <row r="22" spans="5:7" x14ac:dyDescent="0.3">
      <c r="E22" s="10">
        <v>1.7811772469600657</v>
      </c>
    </row>
    <row r="23" spans="5:7" x14ac:dyDescent="0.3">
      <c r="E23" s="10">
        <v>1.7591874044050031</v>
      </c>
    </row>
    <row r="24" spans="5:7" x14ac:dyDescent="0.3">
      <c r="E24" s="10">
        <v>1.7374690413876572</v>
      </c>
    </row>
    <row r="25" spans="5:7" x14ac:dyDescent="0.3">
      <c r="E25" s="10">
        <v>1.7160188063087973</v>
      </c>
    </row>
    <row r="26" spans="5:7" x14ac:dyDescent="0.3">
      <c r="E26" s="10">
        <v>85.80094031543986</v>
      </c>
    </row>
    <row r="27" spans="5:7" x14ac:dyDescent="0.3">
      <c r="E27" s="10"/>
    </row>
    <row r="28" spans="5:7" x14ac:dyDescent="0.3">
      <c r="E28" s="10"/>
    </row>
    <row r="29" spans="5:7" x14ac:dyDescent="0.3">
      <c r="E29" s="10"/>
    </row>
    <row r="30" spans="5:7" ht="15" thickBot="1" x14ac:dyDescent="0.35">
      <c r="E30" s="11"/>
    </row>
  </sheetData>
  <mergeCells count="3">
    <mergeCell ref="A4:B4"/>
    <mergeCell ref="A1:S2"/>
    <mergeCell ref="H4:I4"/>
  </mergeCells>
  <dataValidations count="1">
    <dataValidation type="list" allowBlank="1" showInputMessage="1" showErrorMessage="1" sqref="B10" xr:uid="{DF34817E-AB2A-4E14-B2AC-43D049A8CEBC}">
      <formula1>"1,2,4"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utMettreAJour_Onglet1">
                <anchor moveWithCells="1" sizeWithCells="1">
                  <from>
                    <xdr:col>0</xdr:col>
                    <xdr:colOff>1097280</xdr:colOff>
                    <xdr:row>13</xdr:row>
                    <xdr:rowOff>121920</xdr:rowOff>
                  </from>
                  <to>
                    <xdr:col>2</xdr:col>
                    <xdr:colOff>91440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44396-679C-4B96-9480-4C0F9628DDD5}">
  <sheetPr codeName="Feuil2"/>
  <dimension ref="A1:X21"/>
  <sheetViews>
    <sheetView workbookViewId="0">
      <selection activeCell="F24" sqref="F24"/>
    </sheetView>
  </sheetViews>
  <sheetFormatPr baseColWidth="10" defaultRowHeight="14.4" x14ac:dyDescent="0.3"/>
  <cols>
    <col min="1" max="1" width="5" bestFit="1" customWidth="1"/>
    <col min="2" max="2" width="19" bestFit="1" customWidth="1"/>
    <col min="3" max="3" width="10.33203125" bestFit="1" customWidth="1"/>
    <col min="4" max="4" width="15.6640625" bestFit="1" customWidth="1"/>
    <col min="5" max="5" width="17.77734375" bestFit="1" customWidth="1"/>
    <col min="6" max="6" width="12" bestFit="1" customWidth="1"/>
    <col min="7" max="7" width="20" bestFit="1" customWidth="1"/>
    <col min="8" max="8" width="26.77734375" bestFit="1" customWidth="1"/>
    <col min="9" max="9" width="15.44140625" bestFit="1" customWidth="1"/>
    <col min="10" max="10" width="7" bestFit="1" customWidth="1"/>
    <col min="11" max="11" width="10.5546875" bestFit="1" customWidth="1"/>
  </cols>
  <sheetData>
    <row r="1" spans="1:24" x14ac:dyDescent="0.3">
      <c r="A1" s="15" t="s">
        <v>16</v>
      </c>
      <c r="B1" s="16" t="s">
        <v>17</v>
      </c>
      <c r="C1" s="16" t="s">
        <v>6</v>
      </c>
      <c r="D1" s="16" t="s">
        <v>18</v>
      </c>
      <c r="E1" s="16" t="s">
        <v>19</v>
      </c>
      <c r="F1" s="16" t="s">
        <v>1</v>
      </c>
      <c r="G1" s="16" t="s">
        <v>20</v>
      </c>
      <c r="H1" s="17" t="s">
        <v>21</v>
      </c>
      <c r="I1" s="16" t="s">
        <v>9</v>
      </c>
      <c r="J1" s="16" t="s">
        <v>10</v>
      </c>
      <c r="K1" s="16" t="s">
        <v>13</v>
      </c>
      <c r="L1" s="16" t="s">
        <v>14</v>
      </c>
      <c r="X1">
        <v>2.0495695903860189E-2</v>
      </c>
    </row>
    <row r="2" spans="1:24" x14ac:dyDescent="0.3">
      <c r="A2" s="18">
        <v>1</v>
      </c>
      <c r="B2" s="26" t="s">
        <v>22</v>
      </c>
      <c r="C2" s="19">
        <v>100</v>
      </c>
      <c r="D2" s="19">
        <v>0.05</v>
      </c>
      <c r="E2" s="19">
        <v>2</v>
      </c>
      <c r="F2" s="19">
        <v>2</v>
      </c>
      <c r="G2" s="19">
        <v>0.05</v>
      </c>
      <c r="H2" s="20">
        <v>10</v>
      </c>
      <c r="I2" s="16">
        <v>99.994008181980078</v>
      </c>
      <c r="J2" s="16">
        <v>0.05</v>
      </c>
      <c r="K2" s="16">
        <v>2.4981260932033713</v>
      </c>
      <c r="L2" s="16">
        <v>7.4912565585645483</v>
      </c>
      <c r="X2">
        <v>2.0491392711390794E-2</v>
      </c>
    </row>
    <row r="3" spans="1:24" x14ac:dyDescent="0.3">
      <c r="A3" s="18">
        <v>2</v>
      </c>
      <c r="B3" s="26" t="s">
        <v>23</v>
      </c>
      <c r="C3" s="19">
        <v>100</v>
      </c>
      <c r="D3" s="19">
        <v>0.04</v>
      </c>
      <c r="E3" s="19">
        <v>3</v>
      </c>
      <c r="F3" s="19">
        <v>2</v>
      </c>
      <c r="G3" s="19">
        <v>4.4999999999999998E-2</v>
      </c>
      <c r="H3" s="20">
        <v>5</v>
      </c>
      <c r="I3" s="19">
        <v>99.994008181980078</v>
      </c>
      <c r="J3" s="19">
        <v>4.4999999999999998E-2</v>
      </c>
      <c r="K3" s="19">
        <v>3.4971140940807586</v>
      </c>
      <c r="L3" s="19">
        <v>13.982512724739731</v>
      </c>
      <c r="X3">
        <v>2.0487090422402088E-2</v>
      </c>
    </row>
    <row r="4" spans="1:24" x14ac:dyDescent="0.3">
      <c r="A4" s="18">
        <v>3</v>
      </c>
      <c r="B4" s="26" t="s">
        <v>24</v>
      </c>
      <c r="C4" s="19">
        <v>100</v>
      </c>
      <c r="D4" s="19">
        <v>0.06</v>
      </c>
      <c r="E4" s="19">
        <v>5</v>
      </c>
      <c r="F4" s="19">
        <v>1</v>
      </c>
      <c r="G4" s="19">
        <v>5.1999999999999998E-2</v>
      </c>
      <c r="H4" s="20">
        <v>7</v>
      </c>
      <c r="I4" s="19">
        <v>99.994008181980078</v>
      </c>
      <c r="J4" s="19">
        <v>5.1999999999999998E-2</v>
      </c>
      <c r="K4" s="19">
        <v>5.9879007888445628</v>
      </c>
      <c r="L4" s="19">
        <v>41.872583763249438</v>
      </c>
      <c r="X4">
        <v>2.048278903670438E-2</v>
      </c>
    </row>
    <row r="5" spans="1:24" x14ac:dyDescent="0.3">
      <c r="A5" s="18">
        <v>4</v>
      </c>
      <c r="B5" s="26" t="s">
        <v>25</v>
      </c>
      <c r="C5" s="19">
        <v>100</v>
      </c>
      <c r="D5" s="19">
        <v>3.5000000000000003E-2</v>
      </c>
      <c r="E5" s="19">
        <v>4</v>
      </c>
      <c r="F5" s="19">
        <v>2</v>
      </c>
      <c r="G5" s="19">
        <v>3.7999999999999999E-2</v>
      </c>
      <c r="H5" s="20">
        <v>12</v>
      </c>
      <c r="I5" s="19">
        <v>99.994008181980078</v>
      </c>
      <c r="J5" s="19">
        <v>3.7999999999999999E-2</v>
      </c>
      <c r="K5" s="19">
        <v>4.4959973769732597</v>
      </c>
      <c r="L5" s="19">
        <v>22.470472348739751</v>
      </c>
      <c r="X5">
        <v>2.0478488554108019E-2</v>
      </c>
    </row>
    <row r="6" spans="1:24" x14ac:dyDescent="0.3">
      <c r="A6" s="18">
        <v>5</v>
      </c>
      <c r="B6" s="26" t="s">
        <v>26</v>
      </c>
      <c r="C6" s="19">
        <v>100</v>
      </c>
      <c r="D6" s="19">
        <v>2.5000000000000001E-2</v>
      </c>
      <c r="E6" s="19">
        <v>3</v>
      </c>
      <c r="F6" s="19">
        <v>2</v>
      </c>
      <c r="G6" s="19">
        <v>2.8000000000000001E-2</v>
      </c>
      <c r="H6" s="20">
        <v>15</v>
      </c>
      <c r="I6" s="19">
        <v>99.994008181980078</v>
      </c>
      <c r="J6" s="19">
        <v>2.8000000000000001E-2</v>
      </c>
      <c r="K6" s="19">
        <v>3.4981981240746292</v>
      </c>
      <c r="L6" s="19">
        <v>13.989084969102077</v>
      </c>
      <c r="X6">
        <v>2.0474188974423387E-2</v>
      </c>
    </row>
    <row r="7" spans="1:24" x14ac:dyDescent="0.3">
      <c r="A7" s="18">
        <v>6</v>
      </c>
      <c r="B7" s="26" t="s">
        <v>27</v>
      </c>
      <c r="C7" s="19">
        <v>100</v>
      </c>
      <c r="D7" s="19">
        <v>4.2000000000000003E-2</v>
      </c>
      <c r="E7" s="19">
        <v>7</v>
      </c>
      <c r="F7" s="19">
        <v>1</v>
      </c>
      <c r="G7" s="19">
        <v>4.1000000000000002E-2</v>
      </c>
      <c r="H7" s="20">
        <v>8</v>
      </c>
      <c r="I7" s="19">
        <v>99.994008181980078</v>
      </c>
      <c r="J7" s="19">
        <v>4.1000000000000002E-2</v>
      </c>
      <c r="K7" s="19">
        <v>7.9849814283857121</v>
      </c>
      <c r="L7" s="19">
        <v>71.80018946437886</v>
      </c>
      <c r="X7">
        <v>2.0469890297460921E-2</v>
      </c>
    </row>
    <row r="8" spans="1:24" x14ac:dyDescent="0.3">
      <c r="A8" s="18">
        <v>7</v>
      </c>
      <c r="B8" s="26" t="s">
        <v>28</v>
      </c>
      <c r="C8" s="19">
        <v>100</v>
      </c>
      <c r="D8" s="19">
        <v>5.5E-2</v>
      </c>
      <c r="E8" s="19">
        <v>10</v>
      </c>
      <c r="F8" s="19">
        <v>2</v>
      </c>
      <c r="G8" s="19">
        <v>5.2999999999999999E-2</v>
      </c>
      <c r="H8" s="20">
        <v>6</v>
      </c>
      <c r="I8" s="19">
        <v>99.994008181980078</v>
      </c>
      <c r="J8" s="19">
        <v>5.2999999999999999E-2</v>
      </c>
      <c r="K8" s="19">
        <v>10.468412645645772</v>
      </c>
      <c r="L8" s="19">
        <v>115.01652780934582</v>
      </c>
      <c r="X8">
        <v>2.0465592523031085E-2</v>
      </c>
    </row>
    <row r="9" spans="1:24" x14ac:dyDescent="0.3">
      <c r="A9" s="18">
        <v>8</v>
      </c>
      <c r="B9" s="26" t="s">
        <v>29</v>
      </c>
      <c r="C9" s="19">
        <v>100</v>
      </c>
      <c r="D9" s="19">
        <v>3.7999999999999999E-2</v>
      </c>
      <c r="E9" s="19">
        <v>5</v>
      </c>
      <c r="F9" s="19">
        <v>1</v>
      </c>
      <c r="G9" s="19">
        <v>3.9E-2</v>
      </c>
      <c r="H9" s="20">
        <v>9</v>
      </c>
      <c r="I9" s="19">
        <v>99.994008181980078</v>
      </c>
      <c r="J9" s="19">
        <v>3.9E-2</v>
      </c>
      <c r="K9" s="19">
        <v>5.9919680310026742</v>
      </c>
      <c r="L9" s="19">
        <v>41.914149761562314</v>
      </c>
      <c r="X9">
        <v>2.0461295650944386E-2</v>
      </c>
    </row>
    <row r="10" spans="1:24" x14ac:dyDescent="0.3">
      <c r="A10" s="18">
        <v>9</v>
      </c>
      <c r="B10" s="26" t="s">
        <v>30</v>
      </c>
      <c r="C10" s="19">
        <v>100</v>
      </c>
      <c r="D10" s="19">
        <v>0.04</v>
      </c>
      <c r="E10" s="19">
        <v>7</v>
      </c>
      <c r="F10" s="19">
        <v>2</v>
      </c>
      <c r="G10" s="19">
        <v>4.1000000000000002E-2</v>
      </c>
      <c r="H10" s="20">
        <v>10</v>
      </c>
      <c r="I10" s="19">
        <v>99.994008181980078</v>
      </c>
      <c r="J10" s="19">
        <v>4.1000000000000002E-2</v>
      </c>
      <c r="K10" s="19">
        <v>7.4879757018658006</v>
      </c>
      <c r="L10" s="19">
        <v>59.863580363268063</v>
      </c>
      <c r="X10">
        <v>2.0456999681011369E-2</v>
      </c>
    </row>
    <row r="11" spans="1:24" x14ac:dyDescent="0.3">
      <c r="A11" s="18">
        <v>10</v>
      </c>
      <c r="B11" s="26" t="s">
        <v>31</v>
      </c>
      <c r="C11" s="19">
        <v>100</v>
      </c>
      <c r="D11" s="19">
        <v>2.7E-2</v>
      </c>
      <c r="E11" s="19">
        <v>2</v>
      </c>
      <c r="F11" s="19">
        <v>2</v>
      </c>
      <c r="G11" s="19">
        <v>2.5999999999999999E-2</v>
      </c>
      <c r="H11" s="20">
        <v>20</v>
      </c>
      <c r="I11" s="19">
        <v>99.994008181980078</v>
      </c>
      <c r="J11" s="19">
        <v>2.5999999999999999E-2</v>
      </c>
      <c r="K11" s="19">
        <v>2.4990003189104595</v>
      </c>
      <c r="L11" s="19">
        <v>7.4953518815051901</v>
      </c>
      <c r="X11">
        <v>2.0452704613042633E-2</v>
      </c>
    </row>
    <row r="12" spans="1:24" x14ac:dyDescent="0.3">
      <c r="A12" s="18">
        <v>11</v>
      </c>
      <c r="B12" s="26" t="s">
        <v>32</v>
      </c>
      <c r="C12" s="19">
        <v>100</v>
      </c>
      <c r="D12" s="19">
        <v>3.2000000000000001E-2</v>
      </c>
      <c r="E12" s="19">
        <v>5</v>
      </c>
      <c r="F12" s="19">
        <v>1</v>
      </c>
      <c r="G12" s="19">
        <v>3.3000000000000002E-2</v>
      </c>
      <c r="H12" s="20">
        <v>7</v>
      </c>
      <c r="I12" s="19">
        <v>99.994008181980078</v>
      </c>
      <c r="J12" s="19">
        <v>3.3000000000000002E-2</v>
      </c>
      <c r="K12" s="19">
        <v>5.9932256894945004</v>
      </c>
      <c r="L12" s="19">
        <v>41.927557944440835</v>
      </c>
      <c r="X12">
        <v>2.0448410446848794E-2</v>
      </c>
    </row>
    <row r="13" spans="1:24" x14ac:dyDescent="0.3">
      <c r="A13" s="18">
        <v>12</v>
      </c>
      <c r="B13" s="26" t="s">
        <v>33</v>
      </c>
      <c r="C13" s="19">
        <v>100</v>
      </c>
      <c r="D13" s="19">
        <v>0.05</v>
      </c>
      <c r="E13" s="19">
        <v>10</v>
      </c>
      <c r="F13" s="19">
        <v>2</v>
      </c>
      <c r="G13" s="19">
        <v>0.05</v>
      </c>
      <c r="H13" s="20">
        <v>4</v>
      </c>
      <c r="I13" s="19">
        <v>99.994008181980078</v>
      </c>
      <c r="J13" s="19">
        <v>0.05</v>
      </c>
      <c r="K13" s="19">
        <v>10.471180260838032</v>
      </c>
      <c r="L13" s="19">
        <v>115.05824452943321</v>
      </c>
      <c r="X13">
        <v>99.748343643164844</v>
      </c>
    </row>
    <row r="14" spans="1:24" x14ac:dyDescent="0.3">
      <c r="A14" s="18">
        <v>13</v>
      </c>
      <c r="B14" s="26" t="s">
        <v>34</v>
      </c>
      <c r="C14" s="19">
        <v>100</v>
      </c>
      <c r="D14" s="19">
        <v>4.4999999999999998E-2</v>
      </c>
      <c r="E14" s="19">
        <v>3</v>
      </c>
      <c r="F14" s="19">
        <v>2</v>
      </c>
      <c r="G14" s="19">
        <v>4.3999999999999997E-2</v>
      </c>
      <c r="H14" s="20">
        <v>12</v>
      </c>
      <c r="I14" s="19">
        <v>99.994008181980078</v>
      </c>
      <c r="J14" s="19">
        <v>4.3999999999999997E-2</v>
      </c>
      <c r="K14" s="19">
        <v>3.4968696447691916</v>
      </c>
      <c r="L14" s="19">
        <v>13.981255913549706</v>
      </c>
    </row>
    <row r="15" spans="1:24" x14ac:dyDescent="0.3">
      <c r="A15" s="18">
        <v>14</v>
      </c>
      <c r="B15" s="26" t="s">
        <v>35</v>
      </c>
      <c r="C15" s="19">
        <v>100</v>
      </c>
      <c r="D15" s="19">
        <v>3.7999999999999999E-2</v>
      </c>
      <c r="E15" s="19">
        <v>4</v>
      </c>
      <c r="F15" s="19">
        <v>1</v>
      </c>
      <c r="G15" s="19">
        <v>3.6999999999999998E-2</v>
      </c>
      <c r="H15" s="20">
        <v>11</v>
      </c>
      <c r="I15" s="19">
        <v>99.994008181980078</v>
      </c>
      <c r="J15" s="19">
        <v>3.6999999999999998E-2</v>
      </c>
      <c r="K15" s="19">
        <v>4.9943550505527394</v>
      </c>
      <c r="L15" s="19">
        <v>29.947459879741622</v>
      </c>
    </row>
    <row r="16" spans="1:24" x14ac:dyDescent="0.3">
      <c r="A16" s="21">
        <v>15</v>
      </c>
      <c r="B16" s="27" t="s">
        <v>36</v>
      </c>
      <c r="C16" s="22">
        <v>100</v>
      </c>
      <c r="D16" s="22">
        <v>4.1000000000000002E-2</v>
      </c>
      <c r="E16" s="22">
        <v>6</v>
      </c>
      <c r="F16" s="22">
        <v>2</v>
      </c>
      <c r="G16" s="22">
        <v>4.2000000000000003E-2</v>
      </c>
      <c r="H16" s="23">
        <v>9</v>
      </c>
      <c r="I16" s="22">
        <v>99.994008181980078</v>
      </c>
      <c r="J16" s="22">
        <v>4.2000000000000003E-2</v>
      </c>
      <c r="K16" s="22">
        <v>6.4906493139726367</v>
      </c>
      <c r="L16" s="22">
        <v>45.40638309330884</v>
      </c>
    </row>
    <row r="19" spans="4:12" x14ac:dyDescent="0.3">
      <c r="E19" s="54" t="s">
        <v>92</v>
      </c>
      <c r="F19" s="54"/>
      <c r="G19" s="54"/>
      <c r="H19" s="54"/>
    </row>
    <row r="20" spans="4:12" ht="15" thickBot="1" x14ac:dyDescent="0.35"/>
    <row r="21" spans="4:12" ht="15" thickBot="1" x14ac:dyDescent="0.35">
      <c r="D21" s="76" t="s">
        <v>95</v>
      </c>
      <c r="E21" s="77"/>
      <c r="F21" s="77"/>
      <c r="G21" s="77"/>
      <c r="H21" s="77"/>
      <c r="I21" s="77"/>
      <c r="J21" s="77"/>
      <c r="K21" s="77"/>
      <c r="L21" s="78"/>
    </row>
  </sheetData>
  <mergeCells count="2">
    <mergeCell ref="E19:H19"/>
    <mergeCell ref="D21:L2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899B-3817-45F0-8F5C-9D635C07CBDF}">
  <sheetPr codeName="Feuil3"/>
  <dimension ref="A1:S188"/>
  <sheetViews>
    <sheetView zoomScale="80" zoomScaleNormal="80" workbookViewId="0">
      <selection activeCell="J42" sqref="J41:J42"/>
    </sheetView>
  </sheetViews>
  <sheetFormatPr baseColWidth="10" defaultRowHeight="14.4" x14ac:dyDescent="0.3"/>
  <cols>
    <col min="1" max="1" width="28.5546875" customWidth="1"/>
    <col min="3" max="3" width="15.6640625" bestFit="1" customWidth="1"/>
    <col min="4" max="4" width="17.77734375" bestFit="1" customWidth="1"/>
    <col min="5" max="5" width="12" bestFit="1" customWidth="1"/>
    <col min="6" max="6" width="20" bestFit="1" customWidth="1"/>
    <col min="7" max="7" width="26.77734375" bestFit="1" customWidth="1"/>
    <col min="8" max="8" width="14.6640625" customWidth="1"/>
    <col min="9" max="9" width="12.33203125" bestFit="1" customWidth="1"/>
    <col min="10" max="10" width="12" bestFit="1" customWidth="1"/>
    <col min="11" max="11" width="17.88671875" bestFit="1" customWidth="1"/>
    <col min="12" max="12" width="28.109375" bestFit="1" customWidth="1"/>
    <col min="16" max="16" width="32.6640625" bestFit="1" customWidth="1"/>
    <col min="17" max="18" width="13.44140625" bestFit="1" customWidth="1"/>
    <col min="19" max="19" width="19.5546875" customWidth="1"/>
  </cols>
  <sheetData>
    <row r="1" spans="1:19" s="34" customFormat="1" x14ac:dyDescent="0.3">
      <c r="A1" s="31" t="s">
        <v>17</v>
      </c>
      <c r="B1" s="31" t="s">
        <v>6</v>
      </c>
      <c r="C1" s="31" t="s">
        <v>18</v>
      </c>
      <c r="D1" s="31" t="s">
        <v>19</v>
      </c>
      <c r="E1" s="31" t="s">
        <v>1</v>
      </c>
      <c r="F1" s="31" t="s">
        <v>20</v>
      </c>
      <c r="G1" s="32" t="s">
        <v>21</v>
      </c>
      <c r="H1" s="31" t="s">
        <v>9</v>
      </c>
      <c r="I1" s="31" t="s">
        <v>10</v>
      </c>
      <c r="J1" s="31" t="s">
        <v>13</v>
      </c>
      <c r="K1" s="31" t="s">
        <v>14</v>
      </c>
    </row>
    <row r="2" spans="1:19" x14ac:dyDescent="0.3">
      <c r="A2" s="28" t="s">
        <v>22</v>
      </c>
      <c r="B2" s="24">
        <v>100</v>
      </c>
      <c r="C2" s="24">
        <v>0.05</v>
      </c>
      <c r="D2" s="24">
        <v>2</v>
      </c>
      <c r="E2" s="24">
        <v>2</v>
      </c>
      <c r="F2" s="24">
        <v>0.05</v>
      </c>
      <c r="G2" s="29">
        <v>10</v>
      </c>
      <c r="H2" s="30">
        <v>99.994008181980078</v>
      </c>
      <c r="I2" s="30">
        <v>0.05</v>
      </c>
      <c r="J2" s="30">
        <v>2.4981260932033713</v>
      </c>
      <c r="K2" s="30">
        <v>7.4912565585645483</v>
      </c>
      <c r="P2" s="4" t="s">
        <v>42</v>
      </c>
    </row>
    <row r="3" spans="1:19" x14ac:dyDescent="0.3">
      <c r="A3" s="28" t="s">
        <v>23</v>
      </c>
      <c r="B3" s="24">
        <v>100</v>
      </c>
      <c r="C3" s="24">
        <v>0.04</v>
      </c>
      <c r="D3" s="24">
        <v>3</v>
      </c>
      <c r="E3" s="24">
        <v>2</v>
      </c>
      <c r="F3" s="24">
        <v>4.4999999999999998E-2</v>
      </c>
      <c r="G3" s="29">
        <v>5</v>
      </c>
      <c r="H3" s="24">
        <v>99.994008181980078</v>
      </c>
      <c r="I3" s="24">
        <v>4.4999999999999998E-2</v>
      </c>
      <c r="J3" s="24">
        <v>3.4971140940807586</v>
      </c>
      <c r="K3" s="24">
        <v>13.982512724739731</v>
      </c>
      <c r="P3" s="26" t="s">
        <v>87</v>
      </c>
      <c r="Q3" s="26" t="s">
        <v>88</v>
      </c>
      <c r="R3" s="26" t="s">
        <v>89</v>
      </c>
      <c r="S3" s="26" t="s">
        <v>90</v>
      </c>
    </row>
    <row r="4" spans="1:19" x14ac:dyDescent="0.3">
      <c r="A4" s="28" t="s">
        <v>24</v>
      </c>
      <c r="B4" s="24">
        <v>100</v>
      </c>
      <c r="C4" s="24">
        <v>0.06</v>
      </c>
      <c r="D4" s="24">
        <v>5</v>
      </c>
      <c r="E4" s="24">
        <v>1</v>
      </c>
      <c r="F4" s="24">
        <v>5.1999999999999998E-2</v>
      </c>
      <c r="G4" s="29">
        <v>7</v>
      </c>
      <c r="H4" s="24">
        <v>99.994008181980078</v>
      </c>
      <c r="I4" s="24">
        <v>5.1999999999999998E-2</v>
      </c>
      <c r="J4" s="24">
        <v>5.9879007888445628</v>
      </c>
      <c r="K4" s="24">
        <v>41.872583763249438</v>
      </c>
      <c r="P4" s="19">
        <v>-0.02</v>
      </c>
      <c r="Q4" s="19">
        <v>103.85438464755177</v>
      </c>
      <c r="R4" s="19">
        <v>104.98996100204799</v>
      </c>
      <c r="S4" s="19">
        <v>105.13977715597008</v>
      </c>
    </row>
    <row r="5" spans="1:19" x14ac:dyDescent="0.3">
      <c r="A5" s="28" t="s">
        <v>25</v>
      </c>
      <c r="B5" s="24">
        <v>100</v>
      </c>
      <c r="C5" s="24">
        <v>3.5000000000000003E-2</v>
      </c>
      <c r="D5" s="24">
        <v>4</v>
      </c>
      <c r="E5" s="24">
        <v>2</v>
      </c>
      <c r="F5" s="24">
        <v>3.7999999999999999E-2</v>
      </c>
      <c r="G5" s="29">
        <v>12</v>
      </c>
      <c r="H5" s="24">
        <v>99.994008181980078</v>
      </c>
      <c r="I5" s="24">
        <v>3.7999999999999999E-2</v>
      </c>
      <c r="J5" s="24">
        <v>4.4959973769732597</v>
      </c>
      <c r="K5" s="24">
        <v>22.470472348739751</v>
      </c>
      <c r="P5" s="19">
        <v>-0.01</v>
      </c>
      <c r="Q5" s="19">
        <v>101.90386434933714</v>
      </c>
      <c r="R5" s="19">
        <v>102.49198459201403</v>
      </c>
      <c r="S5" s="19">
        <v>102.52943863049454</v>
      </c>
    </row>
    <row r="6" spans="1:19" x14ac:dyDescent="0.3">
      <c r="A6" s="28" t="s">
        <v>26</v>
      </c>
      <c r="B6" s="24">
        <v>100</v>
      </c>
      <c r="C6" s="24">
        <v>2.5000000000000001E-2</v>
      </c>
      <c r="D6" s="24">
        <v>3</v>
      </c>
      <c r="E6" s="24">
        <v>2</v>
      </c>
      <c r="F6" s="24">
        <v>2.8000000000000001E-2</v>
      </c>
      <c r="G6" s="29">
        <v>15</v>
      </c>
      <c r="H6" s="24">
        <v>99.994008181980078</v>
      </c>
      <c r="I6" s="24">
        <v>2.8000000000000001E-2</v>
      </c>
      <c r="J6" s="24">
        <v>3.4981981240746292</v>
      </c>
      <c r="K6" s="24">
        <v>13.989084969102077</v>
      </c>
      <c r="P6" s="19">
        <v>-5.0000000000000001E-3</v>
      </c>
      <c r="Q6" s="19">
        <v>100.94618505275704</v>
      </c>
      <c r="R6" s="19">
        <v>101.24299638699705</v>
      </c>
      <c r="S6" s="19">
        <v>101.25235989661718</v>
      </c>
    </row>
    <row r="7" spans="1:19" x14ac:dyDescent="0.3">
      <c r="A7" s="28" t="s">
        <v>27</v>
      </c>
      <c r="B7" s="24">
        <v>100</v>
      </c>
      <c r="C7" s="24">
        <v>4.2000000000000003E-2</v>
      </c>
      <c r="D7" s="24">
        <v>7</v>
      </c>
      <c r="E7" s="24">
        <v>1</v>
      </c>
      <c r="F7" s="24">
        <v>4.1000000000000002E-2</v>
      </c>
      <c r="G7" s="29">
        <v>8</v>
      </c>
      <c r="H7" s="24">
        <v>99.994008181980078</v>
      </c>
      <c r="I7" s="24">
        <v>4.1000000000000002E-2</v>
      </c>
      <c r="J7" s="24">
        <v>7.9849814283857121</v>
      </c>
      <c r="K7" s="24">
        <v>71.80018946437886</v>
      </c>
      <c r="P7" s="19">
        <v>0</v>
      </c>
      <c r="Q7" s="19">
        <v>100.00000000000004</v>
      </c>
      <c r="R7" s="19">
        <v>99.994008181980078</v>
      </c>
      <c r="S7" s="19">
        <v>99.994008181980078</v>
      </c>
    </row>
    <row r="8" spans="1:19" x14ac:dyDescent="0.3">
      <c r="A8" s="28" t="s">
        <v>28</v>
      </c>
      <c r="B8" s="24">
        <v>100</v>
      </c>
      <c r="C8" s="24">
        <v>5.5E-2</v>
      </c>
      <c r="D8" s="24">
        <v>10</v>
      </c>
      <c r="E8" s="24">
        <v>2</v>
      </c>
      <c r="F8" s="24">
        <v>5.2999999999999999E-2</v>
      </c>
      <c r="G8" s="29">
        <v>6</v>
      </c>
      <c r="H8" s="24">
        <v>99.994008181980078</v>
      </c>
      <c r="I8" s="24">
        <v>5.2999999999999999E-2</v>
      </c>
      <c r="J8" s="24">
        <v>10.468412645645772</v>
      </c>
      <c r="K8" s="24">
        <v>115.01652780934582</v>
      </c>
      <c r="P8" s="19">
        <v>5.0000000000000001E-3</v>
      </c>
      <c r="Q8" s="19">
        <v>99.065143033637682</v>
      </c>
      <c r="R8" s="19">
        <v>98.745019976963107</v>
      </c>
      <c r="S8" s="19">
        <v>98.754383486583222</v>
      </c>
    </row>
    <row r="9" spans="1:19" x14ac:dyDescent="0.3">
      <c r="A9" s="28" t="s">
        <v>29</v>
      </c>
      <c r="B9" s="24">
        <v>100</v>
      </c>
      <c r="C9" s="24">
        <v>3.7999999999999999E-2</v>
      </c>
      <c r="D9" s="24">
        <v>5</v>
      </c>
      <c r="E9" s="24">
        <v>1</v>
      </c>
      <c r="F9" s="24">
        <v>3.9E-2</v>
      </c>
      <c r="G9" s="29">
        <v>9</v>
      </c>
      <c r="H9" s="24">
        <v>99.994008181980078</v>
      </c>
      <c r="I9" s="24">
        <v>3.9E-2</v>
      </c>
      <c r="J9" s="24">
        <v>5.9919680310026742</v>
      </c>
      <c r="K9" s="24">
        <v>41.914149761562314</v>
      </c>
      <c r="P9" s="19">
        <v>0.01</v>
      </c>
      <c r="Q9" s="19">
        <v>98.141450798594803</v>
      </c>
      <c r="R9" s="19">
        <v>97.496031771946122</v>
      </c>
      <c r="S9" s="19">
        <v>97.53348581042664</v>
      </c>
    </row>
    <row r="10" spans="1:19" x14ac:dyDescent="0.3">
      <c r="A10" s="28" t="s">
        <v>30</v>
      </c>
      <c r="B10" s="24">
        <v>100</v>
      </c>
      <c r="C10" s="24">
        <v>0.04</v>
      </c>
      <c r="D10" s="24">
        <v>7</v>
      </c>
      <c r="E10" s="24">
        <v>2</v>
      </c>
      <c r="F10" s="24">
        <v>4.1000000000000002E-2</v>
      </c>
      <c r="G10" s="29">
        <v>10</v>
      </c>
      <c r="H10" s="24">
        <v>99.994008181980078</v>
      </c>
      <c r="I10" s="24">
        <v>4.1000000000000002E-2</v>
      </c>
      <c r="J10" s="24">
        <v>7.4879757018658006</v>
      </c>
      <c r="K10" s="24">
        <v>59.863580363268063</v>
      </c>
      <c r="P10" s="19">
        <v>0.02</v>
      </c>
      <c r="Q10" s="19">
        <v>96.326920791387806</v>
      </c>
      <c r="R10" s="19">
        <v>94.998055361912151</v>
      </c>
      <c r="S10" s="19">
        <v>95.14787151583424</v>
      </c>
    </row>
    <row r="11" spans="1:19" x14ac:dyDescent="0.3">
      <c r="A11" s="28" t="s">
        <v>31</v>
      </c>
      <c r="B11" s="24">
        <v>100</v>
      </c>
      <c r="C11" s="24">
        <v>2.7E-2</v>
      </c>
      <c r="D11" s="24">
        <v>2</v>
      </c>
      <c r="E11" s="24">
        <v>2</v>
      </c>
      <c r="F11" s="24">
        <v>2.5999999999999999E-2</v>
      </c>
      <c r="G11" s="29">
        <v>20</v>
      </c>
      <c r="H11" s="24">
        <v>99.994008181980078</v>
      </c>
      <c r="I11" s="24">
        <v>2.5999999999999999E-2</v>
      </c>
      <c r="J11" s="24">
        <v>2.4990003189104595</v>
      </c>
      <c r="K11" s="24">
        <v>7.4953518815051901</v>
      </c>
      <c r="M11" s="12"/>
    </row>
    <row r="12" spans="1:19" x14ac:dyDescent="0.3">
      <c r="A12" s="28" t="s">
        <v>32</v>
      </c>
      <c r="B12" s="24">
        <v>100</v>
      </c>
      <c r="C12" s="24">
        <v>3.2000000000000001E-2</v>
      </c>
      <c r="D12" s="24">
        <v>5</v>
      </c>
      <c r="E12" s="24">
        <v>1</v>
      </c>
      <c r="F12" s="24">
        <v>3.3000000000000002E-2</v>
      </c>
      <c r="G12" s="29">
        <v>7</v>
      </c>
      <c r="H12" s="24">
        <v>99.994008181980078</v>
      </c>
      <c r="I12" s="24">
        <v>3.3000000000000002E-2</v>
      </c>
      <c r="J12" s="24">
        <v>5.9932256894945004</v>
      </c>
      <c r="K12" s="24">
        <v>41.927557944440835</v>
      </c>
    </row>
    <row r="13" spans="1:19" x14ac:dyDescent="0.3">
      <c r="A13" s="28" t="s">
        <v>33</v>
      </c>
      <c r="B13" s="24">
        <v>100</v>
      </c>
      <c r="C13" s="24">
        <v>0.05</v>
      </c>
      <c r="D13" s="24">
        <v>10</v>
      </c>
      <c r="E13" s="24">
        <v>2</v>
      </c>
      <c r="F13" s="24">
        <v>0.05</v>
      </c>
      <c r="G13" s="29">
        <v>4</v>
      </c>
      <c r="H13" s="24">
        <v>99.994008181980078</v>
      </c>
      <c r="I13" s="24">
        <v>0.05</v>
      </c>
      <c r="J13" s="24">
        <v>10.471180260838032</v>
      </c>
      <c r="K13" s="24">
        <v>115.05824452943321</v>
      </c>
      <c r="P13" s="4" t="s">
        <v>43</v>
      </c>
    </row>
    <row r="14" spans="1:19" x14ac:dyDescent="0.3">
      <c r="A14" s="28" t="s">
        <v>34</v>
      </c>
      <c r="B14" s="24">
        <v>100</v>
      </c>
      <c r="C14" s="24">
        <v>4.4999999999999998E-2</v>
      </c>
      <c r="D14" s="24">
        <v>3</v>
      </c>
      <c r="E14" s="24">
        <v>2</v>
      </c>
      <c r="F14" s="24">
        <v>4.3999999999999997E-2</v>
      </c>
      <c r="G14" s="29">
        <v>12</v>
      </c>
      <c r="H14" s="24">
        <v>99.994008181980078</v>
      </c>
      <c r="I14" s="24">
        <v>4.3999999999999997E-2</v>
      </c>
      <c r="J14" s="24">
        <v>3.4968696447691916</v>
      </c>
      <c r="K14" s="24">
        <v>13.981255913549706</v>
      </c>
      <c r="P14" s="26" t="s">
        <v>87</v>
      </c>
      <c r="Q14" s="26" t="s">
        <v>88</v>
      </c>
      <c r="R14" s="26" t="s">
        <v>89</v>
      </c>
      <c r="S14" s="26" t="s">
        <v>90</v>
      </c>
    </row>
    <row r="15" spans="1:19" x14ac:dyDescent="0.3">
      <c r="A15" s="28" t="s">
        <v>35</v>
      </c>
      <c r="B15" s="24">
        <v>100</v>
      </c>
      <c r="C15" s="24">
        <v>3.7999999999999999E-2</v>
      </c>
      <c r="D15" s="24">
        <v>4</v>
      </c>
      <c r="E15" s="24">
        <v>1</v>
      </c>
      <c r="F15" s="24">
        <v>3.6999999999999998E-2</v>
      </c>
      <c r="G15" s="29">
        <v>11</v>
      </c>
      <c r="H15" s="24">
        <v>99.994008181980078</v>
      </c>
      <c r="I15" s="24">
        <v>3.6999999999999998E-2</v>
      </c>
      <c r="J15" s="24">
        <v>4.9943550505527394</v>
      </c>
      <c r="K15" s="24">
        <v>29.947459879741622</v>
      </c>
      <c r="L15" s="25"/>
      <c r="P15" s="19">
        <v>-0.02</v>
      </c>
      <c r="Q15" s="19">
        <v>104.30950744042272</v>
      </c>
      <c r="R15" s="19">
        <v>106.98781728871666</v>
      </c>
      <c r="S15" s="19">
        <v>107.26745078707711</v>
      </c>
    </row>
    <row r="16" spans="1:19" x14ac:dyDescent="0.3">
      <c r="A16" s="28" t="s">
        <v>36</v>
      </c>
      <c r="B16" s="24">
        <v>100</v>
      </c>
      <c r="C16" s="24">
        <v>4.1000000000000002E-2</v>
      </c>
      <c r="D16" s="24">
        <v>6</v>
      </c>
      <c r="E16" s="24">
        <v>2</v>
      </c>
      <c r="F16" s="24">
        <v>4.2000000000000003E-2</v>
      </c>
      <c r="G16" s="29">
        <v>9</v>
      </c>
      <c r="H16" s="24">
        <v>99.994008181980078</v>
      </c>
      <c r="I16" s="24">
        <v>4.2000000000000003E-2</v>
      </c>
      <c r="J16" s="24">
        <v>6.4906493139726367</v>
      </c>
      <c r="K16" s="24">
        <v>45.40638309330884</v>
      </c>
      <c r="P16" s="19">
        <v>-0.01</v>
      </c>
      <c r="Q16" s="19">
        <v>101.41224940435696</v>
      </c>
      <c r="R16" s="19">
        <v>103.49091273534837</v>
      </c>
      <c r="S16" s="19">
        <v>103.56082110993847</v>
      </c>
    </row>
    <row r="17" spans="1:19" x14ac:dyDescent="0.3">
      <c r="P17" s="19">
        <v>-5.0000000000000001E-3</v>
      </c>
      <c r="Q17" s="19">
        <v>99.999999999999986</v>
      </c>
      <c r="R17" s="19">
        <v>101.74246045866423</v>
      </c>
      <c r="S17" s="19">
        <v>101.75993755231177</v>
      </c>
    </row>
    <row r="18" spans="1:19" x14ac:dyDescent="0.3">
      <c r="P18" s="19">
        <v>0</v>
      </c>
      <c r="Q18" s="19">
        <v>98.611380799725495</v>
      </c>
      <c r="R18" s="19">
        <v>99.994008181980078</v>
      </c>
      <c r="S18" s="19">
        <v>99.994008181980078</v>
      </c>
    </row>
    <row r="19" spans="1:19" x14ac:dyDescent="0.3">
      <c r="A19" s="4" t="s">
        <v>42</v>
      </c>
      <c r="P19" s="19">
        <v>5.0000000000000001E-3</v>
      </c>
      <c r="Q19" s="19">
        <v>97.245937319210142</v>
      </c>
      <c r="R19" s="19">
        <v>98.24555590529593</v>
      </c>
      <c r="S19" s="19">
        <v>98.263032998943459</v>
      </c>
    </row>
    <row r="20" spans="1:19" x14ac:dyDescent="0.3">
      <c r="A20" s="26" t="s">
        <v>37</v>
      </c>
      <c r="B20" s="26" t="s">
        <v>38</v>
      </c>
      <c r="C20" s="26" t="s">
        <v>39</v>
      </c>
      <c r="D20" s="26" t="s">
        <v>6</v>
      </c>
      <c r="E20" s="26" t="s">
        <v>40</v>
      </c>
      <c r="F20" s="26" t="s">
        <v>41</v>
      </c>
      <c r="I20" s="35"/>
      <c r="J20" s="35"/>
      <c r="K20" s="35"/>
      <c r="L20" s="35"/>
      <c r="P20" s="19">
        <v>0.01</v>
      </c>
      <c r="Q20" s="19">
        <v>95.903224916653897</v>
      </c>
      <c r="R20" s="19">
        <v>96.497103628611782</v>
      </c>
      <c r="S20" s="19">
        <v>96.567012003201896</v>
      </c>
    </row>
    <row r="21" spans="1:19" x14ac:dyDescent="0.3">
      <c r="A21" s="26">
        <v>1</v>
      </c>
      <c r="B21" s="33">
        <v>46162</v>
      </c>
      <c r="C21" s="26">
        <v>2.5</v>
      </c>
      <c r="D21" s="26">
        <v>0</v>
      </c>
      <c r="E21" s="26">
        <v>2.5</v>
      </c>
      <c r="F21" s="26">
        <v>2.4390243902439028</v>
      </c>
      <c r="I21" s="35"/>
      <c r="J21" s="35"/>
      <c r="K21" s="35"/>
      <c r="L21" s="35"/>
      <c r="P21" s="19">
        <v>0.02</v>
      </c>
      <c r="Q21" s="19">
        <v>93.284262577134811</v>
      </c>
      <c r="R21" s="19">
        <v>93.000199075243486</v>
      </c>
      <c r="S21" s="19">
        <v>93.27983257360394</v>
      </c>
    </row>
    <row r="22" spans="1:19" x14ac:dyDescent="0.3">
      <c r="A22" s="26">
        <v>2</v>
      </c>
      <c r="B22" s="33">
        <v>46346</v>
      </c>
      <c r="C22" s="26">
        <v>2.5</v>
      </c>
      <c r="D22" s="26">
        <v>0</v>
      </c>
      <c r="E22" s="26">
        <v>2.5</v>
      </c>
      <c r="F22" s="26">
        <v>2.3795359904818563</v>
      </c>
      <c r="I22" s="35"/>
      <c r="J22" s="35"/>
      <c r="K22" s="35"/>
      <c r="L22" s="35"/>
    </row>
    <row r="23" spans="1:19" x14ac:dyDescent="0.3">
      <c r="A23" s="26">
        <v>3</v>
      </c>
      <c r="B23" s="33">
        <v>46527</v>
      </c>
      <c r="C23" s="26">
        <v>2.5</v>
      </c>
      <c r="D23" s="26">
        <v>0</v>
      </c>
      <c r="E23" s="26">
        <v>2.5</v>
      </c>
      <c r="F23" s="26">
        <v>2.3214985272993722</v>
      </c>
      <c r="I23" s="35"/>
      <c r="J23" s="35"/>
      <c r="K23" s="35"/>
      <c r="L23" s="35"/>
    </row>
    <row r="24" spans="1:19" x14ac:dyDescent="0.3">
      <c r="A24" s="26">
        <v>4</v>
      </c>
      <c r="B24" s="33">
        <v>46711</v>
      </c>
      <c r="C24" s="26">
        <v>2.5</v>
      </c>
      <c r="D24" s="26">
        <v>100</v>
      </c>
      <c r="E24" s="26">
        <v>102.5</v>
      </c>
      <c r="F24" s="26">
        <v>92.859941091974903</v>
      </c>
      <c r="I24" s="35"/>
      <c r="J24" s="35"/>
      <c r="K24" s="35"/>
      <c r="L24" s="35"/>
      <c r="P24" s="4" t="s">
        <v>44</v>
      </c>
    </row>
    <row r="25" spans="1:19" x14ac:dyDescent="0.3">
      <c r="I25" s="35"/>
      <c r="J25" s="35"/>
      <c r="K25" s="35"/>
      <c r="L25" s="35"/>
      <c r="P25" s="26" t="s">
        <v>87</v>
      </c>
      <c r="Q25" s="26" t="s">
        <v>88</v>
      </c>
      <c r="R25" s="26" t="s">
        <v>89</v>
      </c>
      <c r="S25" s="26" t="s">
        <v>90</v>
      </c>
    </row>
    <row r="26" spans="1:19" x14ac:dyDescent="0.3">
      <c r="A26" s="4" t="s">
        <v>43</v>
      </c>
      <c r="I26" s="35"/>
      <c r="J26" s="35"/>
      <c r="K26" s="35"/>
      <c r="L26" s="35"/>
      <c r="P26" s="19">
        <v>-0.02</v>
      </c>
      <c r="Q26" s="19">
        <v>112.75028062622835</v>
      </c>
      <c r="R26" s="19">
        <v>111.96909219143224</v>
      </c>
      <c r="S26" s="19">
        <v>112.80649368811683</v>
      </c>
    </row>
    <row r="27" spans="1:19" x14ac:dyDescent="0.3">
      <c r="A27" s="26" t="s">
        <v>37</v>
      </c>
      <c r="B27" s="26" t="s">
        <v>38</v>
      </c>
      <c r="C27" s="26" t="s">
        <v>39</v>
      </c>
      <c r="D27" s="26" t="s">
        <v>6</v>
      </c>
      <c r="E27" s="26" t="s">
        <v>40</v>
      </c>
      <c r="F27" s="26" t="s">
        <v>41</v>
      </c>
      <c r="I27" s="35"/>
      <c r="J27" s="35"/>
      <c r="K27" s="35"/>
      <c r="L27" s="35"/>
      <c r="P27" s="19">
        <v>-0.01</v>
      </c>
      <c r="Q27" s="19">
        <v>107.96845631020996</v>
      </c>
      <c r="R27" s="19">
        <v>105.98155018670617</v>
      </c>
      <c r="S27" s="19">
        <v>106.19090056087732</v>
      </c>
    </row>
    <row r="28" spans="1:19" ht="15" thickBot="1" x14ac:dyDescent="0.35">
      <c r="A28" s="26">
        <v>1</v>
      </c>
      <c r="B28" s="33">
        <v>46162</v>
      </c>
      <c r="C28" s="26">
        <v>2</v>
      </c>
      <c r="D28" s="26">
        <v>0</v>
      </c>
      <c r="E28" s="26">
        <v>2</v>
      </c>
      <c r="F28" s="26">
        <v>1.9559902200488999</v>
      </c>
      <c r="P28" s="19">
        <v>-5.0000000000000001E-3</v>
      </c>
      <c r="Q28" s="19">
        <v>105.67530260659642</v>
      </c>
      <c r="R28" s="19">
        <v>102.98777918434311</v>
      </c>
      <c r="S28" s="19">
        <v>103.0401167778859</v>
      </c>
    </row>
    <row r="29" spans="1:19" x14ac:dyDescent="0.3">
      <c r="A29" s="26">
        <v>2</v>
      </c>
      <c r="B29" s="33">
        <v>46346</v>
      </c>
      <c r="C29" s="26">
        <v>2</v>
      </c>
      <c r="D29" s="26">
        <v>0</v>
      </c>
      <c r="E29" s="26">
        <v>2</v>
      </c>
      <c r="F29" s="26">
        <v>1.9129488704634718</v>
      </c>
      <c r="H29" s="61" t="s">
        <v>104</v>
      </c>
      <c r="I29" s="62"/>
      <c r="J29" s="62"/>
      <c r="K29" s="62"/>
      <c r="L29" s="63"/>
      <c r="P29" s="19">
        <v>0</v>
      </c>
      <c r="Q29" s="19">
        <v>103.44451592944039</v>
      </c>
      <c r="R29" s="19">
        <v>99.994008181980078</v>
      </c>
      <c r="S29" s="19">
        <v>99.994008181980078</v>
      </c>
    </row>
    <row r="30" spans="1:19" x14ac:dyDescent="0.3">
      <c r="A30" s="26">
        <v>3</v>
      </c>
      <c r="B30" s="33">
        <v>46527</v>
      </c>
      <c r="C30" s="26">
        <v>2</v>
      </c>
      <c r="D30" s="26">
        <v>0</v>
      </c>
      <c r="E30" s="26">
        <v>2</v>
      </c>
      <c r="F30" s="26">
        <v>1.8708546410400704</v>
      </c>
      <c r="H30" s="64" t="s">
        <v>105</v>
      </c>
      <c r="I30" s="65"/>
      <c r="J30" s="65"/>
      <c r="K30" s="65"/>
      <c r="L30" s="66"/>
      <c r="P30" s="19">
        <v>5.0000000000000001E-3</v>
      </c>
      <c r="Q30" s="19">
        <v>101.27408968441621</v>
      </c>
      <c r="R30" s="19">
        <v>97.000237179617031</v>
      </c>
      <c r="S30" s="19">
        <v>97.052574773159819</v>
      </c>
    </row>
    <row r="31" spans="1:19" x14ac:dyDescent="0.3">
      <c r="A31" s="26">
        <v>4</v>
      </c>
      <c r="B31" s="33">
        <v>46711</v>
      </c>
      <c r="C31" s="26">
        <v>2</v>
      </c>
      <c r="D31" s="26">
        <v>0</v>
      </c>
      <c r="E31" s="26">
        <v>2</v>
      </c>
      <c r="F31" s="26">
        <v>1.8296866905037363</v>
      </c>
      <c r="H31" s="64" t="s">
        <v>106</v>
      </c>
      <c r="I31" s="65"/>
      <c r="J31" s="65"/>
      <c r="K31" s="65"/>
      <c r="L31" s="66"/>
      <c r="P31" s="19">
        <v>0.01</v>
      </c>
      <c r="Q31" s="19">
        <v>99.162091277011896</v>
      </c>
      <c r="R31" s="19">
        <v>94.006466177253998</v>
      </c>
      <c r="S31" s="19">
        <v>94.215816551425149</v>
      </c>
    </row>
    <row r="32" spans="1:19" x14ac:dyDescent="0.3">
      <c r="A32" s="26">
        <v>5</v>
      </c>
      <c r="B32" s="33">
        <v>46893</v>
      </c>
      <c r="C32" s="26">
        <v>2</v>
      </c>
      <c r="D32" s="26">
        <v>0</v>
      </c>
      <c r="E32" s="26">
        <v>2</v>
      </c>
      <c r="F32" s="26">
        <v>1.7894246361894732</v>
      </c>
      <c r="H32" s="64" t="s">
        <v>107</v>
      </c>
      <c r="I32" s="65"/>
      <c r="J32" s="65"/>
      <c r="K32" s="65"/>
      <c r="L32" s="66"/>
      <c r="P32" s="19">
        <v>0.02</v>
      </c>
      <c r="Q32" s="19">
        <v>95.105999331243808</v>
      </c>
      <c r="R32" s="19">
        <v>88.018924172527917</v>
      </c>
      <c r="S32" s="19">
        <v>88.856325669212509</v>
      </c>
    </row>
    <row r="33" spans="1:19" ht="15" thickBot="1" x14ac:dyDescent="0.35">
      <c r="A33" s="26">
        <v>6</v>
      </c>
      <c r="B33" s="33">
        <v>47077</v>
      </c>
      <c r="C33" s="26">
        <v>2</v>
      </c>
      <c r="D33" s="26">
        <v>100</v>
      </c>
      <c r="E33" s="26">
        <v>102</v>
      </c>
      <c r="F33" s="26">
        <v>89.252475741479842</v>
      </c>
      <c r="H33" s="67" t="s">
        <v>108</v>
      </c>
      <c r="I33" s="68"/>
      <c r="J33" s="68"/>
      <c r="K33" s="68"/>
      <c r="L33" s="69"/>
    </row>
    <row r="35" spans="1:19" x14ac:dyDescent="0.3">
      <c r="A35" s="4" t="s">
        <v>44</v>
      </c>
      <c r="P35" s="4" t="s">
        <v>45</v>
      </c>
    </row>
    <row r="36" spans="1:19" x14ac:dyDescent="0.3">
      <c r="A36" s="26" t="s">
        <v>37</v>
      </c>
      <c r="B36" s="26" t="s">
        <v>38</v>
      </c>
      <c r="C36" s="26" t="s">
        <v>39</v>
      </c>
      <c r="D36" s="26" t="s">
        <v>6</v>
      </c>
      <c r="E36" s="26" t="s">
        <v>40</v>
      </c>
      <c r="F36" s="26" t="s">
        <v>41</v>
      </c>
      <c r="P36" s="26" t="s">
        <v>87</v>
      </c>
      <c r="Q36" s="26" t="s">
        <v>88</v>
      </c>
      <c r="R36" s="26" t="s">
        <v>89</v>
      </c>
      <c r="S36" s="26" t="s">
        <v>90</v>
      </c>
    </row>
    <row r="37" spans="1:19" x14ac:dyDescent="0.3">
      <c r="A37" s="26">
        <v>1</v>
      </c>
      <c r="B37" s="33">
        <v>46346</v>
      </c>
      <c r="C37" s="26">
        <v>6</v>
      </c>
      <c r="D37" s="26">
        <v>0</v>
      </c>
      <c r="E37" s="26">
        <v>6</v>
      </c>
      <c r="F37" s="26">
        <v>5.7034220532319386</v>
      </c>
      <c r="P37" s="19">
        <v>-0.02</v>
      </c>
      <c r="Q37" s="19">
        <v>106.53266184776099</v>
      </c>
      <c r="R37" s="19">
        <v>108.98546415196458</v>
      </c>
      <c r="S37" s="19">
        <v>109.43484667114315</v>
      </c>
    </row>
    <row r="38" spans="1:19" x14ac:dyDescent="0.3">
      <c r="A38" s="26">
        <v>2</v>
      </c>
      <c r="B38" s="33">
        <v>46711</v>
      </c>
      <c r="C38" s="26">
        <v>6</v>
      </c>
      <c r="D38" s="26">
        <v>0</v>
      </c>
      <c r="E38" s="26">
        <v>6</v>
      </c>
      <c r="F38" s="26">
        <v>5.4215038528820703</v>
      </c>
      <c r="P38" s="19">
        <v>-0.01</v>
      </c>
      <c r="Q38" s="19">
        <v>102.63152540271093</v>
      </c>
      <c r="R38" s="19">
        <v>104.48973616697234</v>
      </c>
      <c r="S38" s="19">
        <v>104.60208179676697</v>
      </c>
    </row>
    <row r="39" spans="1:19" x14ac:dyDescent="0.3">
      <c r="A39" s="26">
        <v>3</v>
      </c>
      <c r="B39" s="33">
        <v>47077</v>
      </c>
      <c r="C39" s="26">
        <v>6</v>
      </c>
      <c r="D39" s="26">
        <v>0</v>
      </c>
      <c r="E39" s="26">
        <v>6</v>
      </c>
      <c r="F39" s="26">
        <v>5.1535207727015884</v>
      </c>
      <c r="P39" s="19">
        <v>-5.0000000000000001E-3</v>
      </c>
      <c r="Q39" s="19">
        <v>100.74372442703779</v>
      </c>
      <c r="R39" s="19">
        <v>102.24187217447621</v>
      </c>
      <c r="S39" s="19">
        <v>102.26995858192488</v>
      </c>
    </row>
    <row r="40" spans="1:19" x14ac:dyDescent="0.3">
      <c r="A40" s="26">
        <v>4</v>
      </c>
      <c r="B40" s="33">
        <v>47442</v>
      </c>
      <c r="C40" s="26">
        <v>6</v>
      </c>
      <c r="D40" s="26">
        <v>0</v>
      </c>
      <c r="E40" s="26">
        <v>6</v>
      </c>
      <c r="F40" s="26">
        <v>4.8987840044691904</v>
      </c>
      <c r="P40" s="19">
        <v>0</v>
      </c>
      <c r="Q40" s="19">
        <v>98.896426652328515</v>
      </c>
      <c r="R40" s="19">
        <v>99.994008181980078</v>
      </c>
      <c r="S40" s="19">
        <v>99.994008181980078</v>
      </c>
    </row>
    <row r="41" spans="1:19" x14ac:dyDescent="0.3">
      <c r="A41" s="26">
        <v>5</v>
      </c>
      <c r="B41" s="33">
        <v>47807</v>
      </c>
      <c r="C41" s="26">
        <v>6</v>
      </c>
      <c r="D41" s="26">
        <v>100</v>
      </c>
      <c r="E41" s="26">
        <v>106</v>
      </c>
      <c r="F41" s="26">
        <v>82.267285246155595</v>
      </c>
      <c r="P41" s="19">
        <v>5.0000000000000001E-3</v>
      </c>
      <c r="Q41" s="19">
        <v>97.088659196242574</v>
      </c>
      <c r="R41" s="19">
        <v>97.746144189483957</v>
      </c>
      <c r="S41" s="19">
        <v>97.774230596932611</v>
      </c>
    </row>
    <row r="42" spans="1:19" x14ac:dyDescent="0.3">
      <c r="P42" s="19">
        <v>0.01</v>
      </c>
      <c r="Q42" s="19">
        <v>95.319474923311162</v>
      </c>
      <c r="R42" s="19">
        <v>95.498280196987821</v>
      </c>
      <c r="S42" s="19">
        <v>95.610625826782467</v>
      </c>
    </row>
    <row r="43" spans="1:19" x14ac:dyDescent="0.3">
      <c r="A43" s="4" t="s">
        <v>45</v>
      </c>
      <c r="P43" s="19">
        <v>0.02</v>
      </c>
      <c r="Q43" s="19">
        <v>91.893191684399909</v>
      </c>
      <c r="R43" s="19">
        <v>91.002552211995578</v>
      </c>
      <c r="S43" s="19">
        <v>91.451934731174134</v>
      </c>
    </row>
    <row r="44" spans="1:19" x14ac:dyDescent="0.3">
      <c r="A44" s="26" t="s">
        <v>37</v>
      </c>
      <c r="B44" s="26" t="s">
        <v>38</v>
      </c>
      <c r="C44" s="26" t="s">
        <v>39</v>
      </c>
      <c r="D44" s="26" t="s">
        <v>6</v>
      </c>
      <c r="E44" s="26" t="s">
        <v>40</v>
      </c>
      <c r="F44" s="26" t="s">
        <v>41</v>
      </c>
    </row>
    <row r="45" spans="1:19" x14ac:dyDescent="0.3">
      <c r="A45" s="26">
        <v>1</v>
      </c>
      <c r="B45" s="33">
        <v>46162</v>
      </c>
      <c r="C45" s="26">
        <v>1.7500000000000002</v>
      </c>
      <c r="D45" s="26">
        <v>0</v>
      </c>
      <c r="E45" s="26">
        <v>1.7500000000000002</v>
      </c>
      <c r="F45" s="26">
        <v>1.7173699705593723</v>
      </c>
    </row>
    <row r="46" spans="1:19" x14ac:dyDescent="0.3">
      <c r="A46" s="26">
        <v>2</v>
      </c>
      <c r="B46" s="33">
        <v>46346</v>
      </c>
      <c r="C46" s="26">
        <v>1.7500000000000002</v>
      </c>
      <c r="D46" s="26">
        <v>0</v>
      </c>
      <c r="E46" s="26">
        <v>1.7500000000000002</v>
      </c>
      <c r="F46" s="26">
        <v>1.6853483518737706</v>
      </c>
      <c r="P46" s="4" t="s">
        <v>46</v>
      </c>
    </row>
    <row r="47" spans="1:19" x14ac:dyDescent="0.3">
      <c r="A47" s="26">
        <v>3</v>
      </c>
      <c r="B47" s="33">
        <v>46527</v>
      </c>
      <c r="C47" s="26">
        <v>1.7500000000000002</v>
      </c>
      <c r="D47" s="26">
        <v>0</v>
      </c>
      <c r="E47" s="26">
        <v>1.7500000000000002</v>
      </c>
      <c r="F47" s="26">
        <v>1.6539237996798537</v>
      </c>
      <c r="P47" s="26" t="s">
        <v>87</v>
      </c>
      <c r="Q47" s="26" t="s">
        <v>88</v>
      </c>
      <c r="R47" s="26" t="s">
        <v>89</v>
      </c>
      <c r="S47" s="26" t="s">
        <v>90</v>
      </c>
    </row>
    <row r="48" spans="1:19" x14ac:dyDescent="0.3">
      <c r="A48" s="26">
        <v>4</v>
      </c>
      <c r="B48" s="33">
        <v>46711</v>
      </c>
      <c r="C48" s="26">
        <v>1.7500000000000002</v>
      </c>
      <c r="D48" s="26">
        <v>0</v>
      </c>
      <c r="E48" s="26">
        <v>1.7500000000000002</v>
      </c>
      <c r="F48" s="26">
        <v>1.6230851812363631</v>
      </c>
      <c r="P48" s="19">
        <v>-0.02</v>
      </c>
      <c r="Q48" s="19">
        <v>105.02935480003582</v>
      </c>
      <c r="R48" s="19">
        <v>106.98998521879818</v>
      </c>
      <c r="S48" s="19">
        <v>107.26975015416994</v>
      </c>
    </row>
    <row r="49" spans="1:19" x14ac:dyDescent="0.3">
      <c r="A49" s="26">
        <v>5</v>
      </c>
      <c r="B49" s="33">
        <v>46893</v>
      </c>
      <c r="C49" s="26">
        <v>1.7500000000000002</v>
      </c>
      <c r="D49" s="26">
        <v>0</v>
      </c>
      <c r="E49" s="26">
        <v>1.7500000000000002</v>
      </c>
      <c r="F49" s="26">
        <v>1.5928215713801408</v>
      </c>
      <c r="P49" s="19">
        <v>-0.01</v>
      </c>
      <c r="Q49" s="19">
        <v>102.03540602037724</v>
      </c>
      <c r="R49" s="19">
        <v>103.49199670038914</v>
      </c>
      <c r="S49" s="19">
        <v>103.56193793423208</v>
      </c>
    </row>
    <row r="50" spans="1:19" x14ac:dyDescent="0.3">
      <c r="A50" s="26">
        <v>6</v>
      </c>
      <c r="B50" s="33">
        <v>47077</v>
      </c>
      <c r="C50" s="26">
        <v>1.7500000000000002</v>
      </c>
      <c r="D50" s="26">
        <v>0</v>
      </c>
      <c r="E50" s="26">
        <v>1.7500000000000002</v>
      </c>
      <c r="F50" s="26">
        <v>1.5631222486556826</v>
      </c>
      <c r="P50" s="19">
        <v>-5.0000000000000001E-3</v>
      </c>
      <c r="Q50" s="19">
        <v>100.57657186861189</v>
      </c>
      <c r="R50" s="19">
        <v>101.7430024411846</v>
      </c>
      <c r="S50" s="19">
        <v>101.76048774964534</v>
      </c>
    </row>
    <row r="51" spans="1:19" x14ac:dyDescent="0.3">
      <c r="A51" s="26">
        <v>7</v>
      </c>
      <c r="B51" s="33">
        <v>47258</v>
      </c>
      <c r="C51" s="26">
        <v>1.7500000000000002</v>
      </c>
      <c r="D51" s="26">
        <v>0</v>
      </c>
      <c r="E51" s="26">
        <v>1.7500000000000002</v>
      </c>
      <c r="F51" s="26">
        <v>1.5339766915168624</v>
      </c>
      <c r="P51" s="19">
        <v>0</v>
      </c>
      <c r="Q51" s="19">
        <v>99.142504045871817</v>
      </c>
      <c r="R51" s="19">
        <v>99.994008181980078</v>
      </c>
      <c r="S51" s="19">
        <v>99.994008181980078</v>
      </c>
    </row>
    <row r="52" spans="1:19" x14ac:dyDescent="0.3">
      <c r="A52" s="26">
        <v>8</v>
      </c>
      <c r="B52" s="33">
        <v>47442</v>
      </c>
      <c r="C52" s="26">
        <v>1.7500000000000002</v>
      </c>
      <c r="D52" s="26">
        <v>100</v>
      </c>
      <c r="E52" s="26">
        <v>101.75</v>
      </c>
      <c r="F52" s="26">
        <v>87.526778837426463</v>
      </c>
      <c r="P52" s="19">
        <v>5.0000000000000001E-3</v>
      </c>
      <c r="Q52" s="19">
        <v>97.732720751578952</v>
      </c>
      <c r="R52" s="19">
        <v>98.245013922775541</v>
      </c>
      <c r="S52" s="19">
        <v>98.262499231236291</v>
      </c>
    </row>
    <row r="53" spans="1:19" x14ac:dyDescent="0.3">
      <c r="P53" s="19">
        <v>0.01</v>
      </c>
      <c r="Q53" s="19">
        <v>96.346750725599847</v>
      </c>
      <c r="R53" s="19">
        <v>96.496019663571019</v>
      </c>
      <c r="S53" s="19">
        <v>96.565960897413959</v>
      </c>
    </row>
    <row r="54" spans="1:19" x14ac:dyDescent="0.3">
      <c r="A54" s="4" t="s">
        <v>46</v>
      </c>
      <c r="P54" s="19">
        <v>0.02</v>
      </c>
      <c r="Q54" s="19">
        <v>93.644416611944322</v>
      </c>
      <c r="R54" s="19">
        <v>92.99803114516196</v>
      </c>
      <c r="S54" s="19">
        <v>93.277796080533719</v>
      </c>
    </row>
    <row r="55" spans="1:19" x14ac:dyDescent="0.3">
      <c r="A55" s="26" t="s">
        <v>37</v>
      </c>
      <c r="B55" s="26" t="s">
        <v>38</v>
      </c>
      <c r="C55" s="26" t="s">
        <v>39</v>
      </c>
      <c r="D55" s="26" t="s">
        <v>6</v>
      </c>
      <c r="E55" s="26" t="s">
        <v>40</v>
      </c>
      <c r="F55" s="26" t="s">
        <v>41</v>
      </c>
    </row>
    <row r="56" spans="1:19" x14ac:dyDescent="0.3">
      <c r="A56" s="26">
        <v>1</v>
      </c>
      <c r="B56" s="33">
        <v>46162</v>
      </c>
      <c r="C56" s="26">
        <v>1.25</v>
      </c>
      <c r="D56" s="26">
        <v>0</v>
      </c>
      <c r="E56" s="26">
        <v>1.25</v>
      </c>
      <c r="F56" s="26">
        <v>1.2327416173570021</v>
      </c>
    </row>
    <row r="57" spans="1:19" x14ac:dyDescent="0.3">
      <c r="A57" s="26">
        <v>2</v>
      </c>
      <c r="B57" s="33">
        <v>46346</v>
      </c>
      <c r="C57" s="26">
        <v>1.25</v>
      </c>
      <c r="D57" s="26">
        <v>0</v>
      </c>
      <c r="E57" s="26">
        <v>1.25</v>
      </c>
      <c r="F57" s="26">
        <v>1.2157215161311654</v>
      </c>
      <c r="P57" s="4" t="s">
        <v>47</v>
      </c>
    </row>
    <row r="58" spans="1:19" x14ac:dyDescent="0.3">
      <c r="A58" s="26">
        <v>3</v>
      </c>
      <c r="B58" s="33">
        <v>46527</v>
      </c>
      <c r="C58" s="26">
        <v>1.25</v>
      </c>
      <c r="D58" s="26">
        <v>0</v>
      </c>
      <c r="E58" s="26">
        <v>1.25</v>
      </c>
      <c r="F58" s="26">
        <v>1.1989364064409918</v>
      </c>
      <c r="P58" s="26" t="s">
        <v>87</v>
      </c>
      <c r="Q58" s="26" t="s">
        <v>88</v>
      </c>
      <c r="R58" s="26" t="s">
        <v>89</v>
      </c>
      <c r="S58" s="26" t="s">
        <v>90</v>
      </c>
    </row>
    <row r="59" spans="1:19" x14ac:dyDescent="0.3">
      <c r="A59" s="26">
        <v>4</v>
      </c>
      <c r="B59" s="33">
        <v>46711</v>
      </c>
      <c r="C59" s="26">
        <v>1.25</v>
      </c>
      <c r="D59" s="26">
        <v>0</v>
      </c>
      <c r="E59" s="26">
        <v>1.25</v>
      </c>
      <c r="F59" s="26">
        <v>1.1823830438274081</v>
      </c>
      <c r="P59" s="19">
        <v>-0.02</v>
      </c>
      <c r="Q59" s="19">
        <v>113.53908935776988</v>
      </c>
      <c r="R59" s="19">
        <v>115.96301414763927</v>
      </c>
      <c r="S59" s="19">
        <v>117.39893189419304</v>
      </c>
    </row>
    <row r="60" spans="1:19" x14ac:dyDescent="0.3">
      <c r="A60" s="26">
        <v>5</v>
      </c>
      <c r="B60" s="33">
        <v>46893</v>
      </c>
      <c r="C60" s="26">
        <v>1.25</v>
      </c>
      <c r="D60" s="26">
        <v>0</v>
      </c>
      <c r="E60" s="26">
        <v>1.25</v>
      </c>
      <c r="F60" s="26">
        <v>1.166058228626635</v>
      </c>
      <c r="P60" s="19">
        <v>-0.01</v>
      </c>
      <c r="Q60" s="19">
        <v>106.82755650254607</v>
      </c>
      <c r="R60" s="19">
        <v>107.97851116480967</v>
      </c>
      <c r="S60" s="19">
        <v>108.33749060144811</v>
      </c>
    </row>
    <row r="61" spans="1:19" x14ac:dyDescent="0.3">
      <c r="A61" s="26">
        <v>6</v>
      </c>
      <c r="B61" s="33">
        <v>47077</v>
      </c>
      <c r="C61" s="26">
        <v>1.25</v>
      </c>
      <c r="D61" s="26">
        <v>100</v>
      </c>
      <c r="E61" s="26">
        <v>101.25</v>
      </c>
      <c r="F61" s="26">
        <v>93.14666323348861</v>
      </c>
      <c r="P61" s="19">
        <v>-5.0000000000000001E-3</v>
      </c>
      <c r="Q61" s="19">
        <v>103.65507391913532</v>
      </c>
      <c r="R61" s="19">
        <v>103.98625967339487</v>
      </c>
      <c r="S61" s="19">
        <v>104.07600453255448</v>
      </c>
    </row>
    <row r="62" spans="1:19" x14ac:dyDescent="0.3">
      <c r="P62" s="19">
        <v>0</v>
      </c>
      <c r="Q62" s="19">
        <v>100.5979936644284</v>
      </c>
      <c r="R62" s="19">
        <v>99.994008181980078</v>
      </c>
      <c r="S62" s="19">
        <v>99.994008181980078</v>
      </c>
    </row>
    <row r="63" spans="1:19" x14ac:dyDescent="0.3">
      <c r="A63" s="4" t="s">
        <v>47</v>
      </c>
      <c r="P63" s="19">
        <v>5.0000000000000001E-3</v>
      </c>
      <c r="Q63" s="19">
        <v>97.651521297016103</v>
      </c>
      <c r="R63" s="19">
        <v>96.001756690565287</v>
      </c>
      <c r="S63" s="19">
        <v>96.091501549724896</v>
      </c>
    </row>
    <row r="64" spans="1:19" x14ac:dyDescent="0.3">
      <c r="A64" s="26" t="s">
        <v>37</v>
      </c>
      <c r="B64" s="26" t="s">
        <v>38</v>
      </c>
      <c r="C64" s="26" t="s">
        <v>39</v>
      </c>
      <c r="D64" s="26" t="s">
        <v>6</v>
      </c>
      <c r="E64" s="26" t="s">
        <v>40</v>
      </c>
      <c r="F64" s="26" t="s">
        <v>41</v>
      </c>
      <c r="P64" s="19">
        <v>0.01</v>
      </c>
      <c r="Q64" s="19">
        <v>94.811084450577468</v>
      </c>
      <c r="R64" s="19">
        <v>92.009505199150482</v>
      </c>
      <c r="S64" s="19">
        <v>92.368484635788931</v>
      </c>
    </row>
    <row r="65" spans="1:19" x14ac:dyDescent="0.3">
      <c r="A65" s="26">
        <v>1</v>
      </c>
      <c r="B65" s="33">
        <v>46346</v>
      </c>
      <c r="C65" s="26">
        <v>4.2</v>
      </c>
      <c r="D65" s="26">
        <v>0</v>
      </c>
      <c r="E65" s="26">
        <v>4.2</v>
      </c>
      <c r="F65" s="26">
        <v>4.0345821325648421</v>
      </c>
      <c r="P65" s="19">
        <v>0.02</v>
      </c>
      <c r="Q65" s="19">
        <v>89.431071007078714</v>
      </c>
      <c r="R65" s="19">
        <v>84.025002216320885</v>
      </c>
      <c r="S65" s="19">
        <v>85.460919962874641</v>
      </c>
    </row>
    <row r="66" spans="1:19" x14ac:dyDescent="0.3">
      <c r="A66" s="26">
        <v>2</v>
      </c>
      <c r="B66" s="33">
        <v>46711</v>
      </c>
      <c r="C66" s="26">
        <v>4.2</v>
      </c>
      <c r="D66" s="26">
        <v>0</v>
      </c>
      <c r="E66" s="26">
        <v>4.2</v>
      </c>
      <c r="F66" s="26">
        <v>3.8756792820027299</v>
      </c>
    </row>
    <row r="67" spans="1:19" x14ac:dyDescent="0.3">
      <c r="A67" s="26">
        <v>3</v>
      </c>
      <c r="B67" s="33">
        <v>47077</v>
      </c>
      <c r="C67" s="26">
        <v>4.2</v>
      </c>
      <c r="D67" s="26">
        <v>0</v>
      </c>
      <c r="E67" s="26">
        <v>4.2</v>
      </c>
      <c r="F67" s="26">
        <v>3.72303485302856</v>
      </c>
    </row>
    <row r="68" spans="1:19" x14ac:dyDescent="0.3">
      <c r="A68" s="26">
        <v>4</v>
      </c>
      <c r="B68" s="33">
        <v>47442</v>
      </c>
      <c r="C68" s="26">
        <v>4.2</v>
      </c>
      <c r="D68" s="26">
        <v>0</v>
      </c>
      <c r="E68" s="26">
        <v>4.2</v>
      </c>
      <c r="F68" s="26">
        <v>3.5764023564155236</v>
      </c>
      <c r="P68" s="4" t="s">
        <v>48</v>
      </c>
    </row>
    <row r="69" spans="1:19" x14ac:dyDescent="0.3">
      <c r="A69" s="26">
        <v>5</v>
      </c>
      <c r="B69" s="33">
        <v>47807</v>
      </c>
      <c r="C69" s="26">
        <v>4.2</v>
      </c>
      <c r="D69" s="26">
        <v>0</v>
      </c>
      <c r="E69" s="26">
        <v>4.2</v>
      </c>
      <c r="F69" s="26">
        <v>3.4355450109659205</v>
      </c>
      <c r="P69" s="26" t="s">
        <v>87</v>
      </c>
      <c r="Q69" s="26" t="s">
        <v>88</v>
      </c>
      <c r="R69" s="26" t="s">
        <v>89</v>
      </c>
      <c r="S69" s="26" t="s">
        <v>90</v>
      </c>
    </row>
    <row r="70" spans="1:19" x14ac:dyDescent="0.3">
      <c r="A70" s="26">
        <v>6</v>
      </c>
      <c r="B70" s="33">
        <v>48172</v>
      </c>
      <c r="C70" s="26">
        <v>4.2</v>
      </c>
      <c r="D70" s="26">
        <v>0</v>
      </c>
      <c r="E70" s="26">
        <v>4.2</v>
      </c>
      <c r="F70" s="26">
        <v>3.3002353611584256</v>
      </c>
      <c r="P70" s="19">
        <v>-0.02</v>
      </c>
      <c r="Q70" s="19">
        <v>118.60917697453019</v>
      </c>
      <c r="R70" s="19">
        <v>120.92957897680103</v>
      </c>
      <c r="S70" s="19">
        <v>123.22977170136717</v>
      </c>
    </row>
    <row r="71" spans="1:19" x14ac:dyDescent="0.3">
      <c r="A71" s="26">
        <v>7</v>
      </c>
      <c r="B71" s="33">
        <v>48538</v>
      </c>
      <c r="C71" s="26">
        <v>4.2</v>
      </c>
      <c r="D71" s="26">
        <v>100</v>
      </c>
      <c r="E71" s="26">
        <v>104.2</v>
      </c>
      <c r="F71" s="26">
        <v>78.652514668292397</v>
      </c>
      <c r="P71" s="19">
        <v>-0.01</v>
      </c>
      <c r="Q71" s="19">
        <v>109.67031381304271</v>
      </c>
      <c r="R71" s="19">
        <v>110.46179357939054</v>
      </c>
      <c r="S71" s="19">
        <v>111.03684176053208</v>
      </c>
    </row>
    <row r="72" spans="1:19" x14ac:dyDescent="0.3">
      <c r="P72" s="19">
        <v>-5.0000000000000001E-3</v>
      </c>
      <c r="Q72" s="19">
        <v>105.5081027197858</v>
      </c>
      <c r="R72" s="19">
        <v>105.2279008806853</v>
      </c>
      <c r="S72" s="19">
        <v>105.37166292597068</v>
      </c>
    </row>
    <row r="73" spans="1:19" x14ac:dyDescent="0.3">
      <c r="A73" s="4" t="s">
        <v>48</v>
      </c>
      <c r="P73" s="19">
        <v>0</v>
      </c>
      <c r="Q73" s="19">
        <v>101.53705323756213</v>
      </c>
      <c r="R73" s="19">
        <v>99.994008181980078</v>
      </c>
      <c r="S73" s="19">
        <v>99.994008181980078</v>
      </c>
    </row>
    <row r="74" spans="1:19" x14ac:dyDescent="0.3">
      <c r="A74" s="26" t="s">
        <v>37</v>
      </c>
      <c r="B74" s="26" t="s">
        <v>38</v>
      </c>
      <c r="C74" s="26" t="s">
        <v>39</v>
      </c>
      <c r="D74" s="26" t="s">
        <v>6</v>
      </c>
      <c r="E74" s="26" t="s">
        <v>40</v>
      </c>
      <c r="F74" s="26" t="s">
        <v>41</v>
      </c>
      <c r="P74" s="19">
        <v>5.0000000000000001E-3</v>
      </c>
      <c r="Q74" s="19">
        <v>97.747605802473132</v>
      </c>
      <c r="R74" s="19">
        <v>94.760115483274845</v>
      </c>
      <c r="S74" s="19">
        <v>94.903877528560216</v>
      </c>
    </row>
    <row r="75" spans="1:19" x14ac:dyDescent="0.3">
      <c r="A75" s="26">
        <v>1</v>
      </c>
      <c r="B75" s="33">
        <v>46162</v>
      </c>
      <c r="C75" s="26">
        <v>2.75</v>
      </c>
      <c r="D75" s="26">
        <v>0</v>
      </c>
      <c r="E75" s="26">
        <v>2.75</v>
      </c>
      <c r="F75" s="26">
        <v>2.6790063321967854</v>
      </c>
      <c r="P75" s="19">
        <v>0.01</v>
      </c>
      <c r="Q75" s="19">
        <v>94.130708044250852</v>
      </c>
      <c r="R75" s="19">
        <v>89.526222784569612</v>
      </c>
      <c r="S75" s="19">
        <v>90.101270965711137</v>
      </c>
    </row>
    <row r="76" spans="1:19" x14ac:dyDescent="0.3">
      <c r="A76" s="26">
        <v>2</v>
      </c>
      <c r="B76" s="33">
        <v>46346</v>
      </c>
      <c r="C76" s="26">
        <v>2.75</v>
      </c>
      <c r="D76" s="26">
        <v>0</v>
      </c>
      <c r="E76" s="26">
        <v>2.75</v>
      </c>
      <c r="F76" s="26">
        <v>2.6098454283456265</v>
      </c>
      <c r="P76" s="19">
        <v>0.02</v>
      </c>
      <c r="Q76" s="19">
        <v>87.380720139954576</v>
      </c>
      <c r="R76" s="19">
        <v>79.058437387159131</v>
      </c>
      <c r="S76" s="19">
        <v>81.358630111725262</v>
      </c>
    </row>
    <row r="77" spans="1:19" x14ac:dyDescent="0.3">
      <c r="A77" s="26">
        <v>3</v>
      </c>
      <c r="B77" s="33">
        <v>46527</v>
      </c>
      <c r="C77" s="26">
        <v>2.75</v>
      </c>
      <c r="D77" s="26">
        <v>0</v>
      </c>
      <c r="E77" s="26">
        <v>2.75</v>
      </c>
      <c r="F77" s="26">
        <v>2.5424699740337329</v>
      </c>
    </row>
    <row r="78" spans="1:19" x14ac:dyDescent="0.3">
      <c r="A78" s="26">
        <v>4</v>
      </c>
      <c r="B78" s="33">
        <v>46711</v>
      </c>
      <c r="C78" s="26">
        <v>2.75</v>
      </c>
      <c r="D78" s="26">
        <v>0</v>
      </c>
      <c r="E78" s="26">
        <v>2.75</v>
      </c>
      <c r="F78" s="26">
        <v>2.4768338763114786</v>
      </c>
    </row>
    <row r="79" spans="1:19" x14ac:dyDescent="0.3">
      <c r="A79" s="26">
        <v>5</v>
      </c>
      <c r="B79" s="33">
        <v>46893</v>
      </c>
      <c r="C79" s="26">
        <v>2.75</v>
      </c>
      <c r="D79" s="26">
        <v>0</v>
      </c>
      <c r="E79" s="26">
        <v>2.75</v>
      </c>
      <c r="F79" s="26">
        <v>2.4128922321592583</v>
      </c>
      <c r="P79" s="4" t="s">
        <v>49</v>
      </c>
    </row>
    <row r="80" spans="1:19" x14ac:dyDescent="0.3">
      <c r="A80" s="26">
        <v>6</v>
      </c>
      <c r="B80" s="33">
        <v>47077</v>
      </c>
      <c r="C80" s="26">
        <v>2.75</v>
      </c>
      <c r="D80" s="26">
        <v>0</v>
      </c>
      <c r="E80" s="26">
        <v>2.75</v>
      </c>
      <c r="F80" s="26">
        <v>2.3506012977683959</v>
      </c>
      <c r="P80" s="26" t="s">
        <v>87</v>
      </c>
      <c r="Q80" s="26" t="s">
        <v>88</v>
      </c>
      <c r="R80" s="26" t="s">
        <v>89</v>
      </c>
      <c r="S80" s="26" t="s">
        <v>90</v>
      </c>
    </row>
    <row r="81" spans="1:19" x14ac:dyDescent="0.3">
      <c r="A81" s="26">
        <v>7</v>
      </c>
      <c r="B81" s="33">
        <v>47258</v>
      </c>
      <c r="C81" s="26">
        <v>2.75</v>
      </c>
      <c r="D81" s="26">
        <v>0</v>
      </c>
      <c r="E81" s="26">
        <v>2.75</v>
      </c>
      <c r="F81" s="26">
        <v>2.2899184586150958</v>
      </c>
      <c r="P81" s="19">
        <v>-0.02</v>
      </c>
      <c r="Q81" s="19">
        <v>108.98162449256351</v>
      </c>
      <c r="R81" s="19">
        <v>111.97722618834496</v>
      </c>
      <c r="S81" s="19">
        <v>112.81545895518465</v>
      </c>
    </row>
    <row r="82" spans="1:19" x14ac:dyDescent="0.3">
      <c r="A82" s="26">
        <v>8</v>
      </c>
      <c r="B82" s="33">
        <v>47442</v>
      </c>
      <c r="C82" s="26">
        <v>2.75</v>
      </c>
      <c r="D82" s="26">
        <v>0</v>
      </c>
      <c r="E82" s="26">
        <v>2.75</v>
      </c>
      <c r="F82" s="26">
        <v>2.2308022003069614</v>
      </c>
      <c r="P82" s="19">
        <v>-0.01</v>
      </c>
      <c r="Q82" s="19">
        <v>104.13353149134532</v>
      </c>
      <c r="R82" s="19">
        <v>105.98561718516252</v>
      </c>
      <c r="S82" s="19">
        <v>106.19517537687244</v>
      </c>
    </row>
    <row r="83" spans="1:19" x14ac:dyDescent="0.3">
      <c r="A83" s="26">
        <v>9</v>
      </c>
      <c r="B83" s="33">
        <v>47623</v>
      </c>
      <c r="C83" s="26">
        <v>2.75</v>
      </c>
      <c r="D83" s="26">
        <v>0</v>
      </c>
      <c r="E83" s="26">
        <v>2.75</v>
      </c>
      <c r="F83" s="26">
        <v>2.1732120801821346</v>
      </c>
      <c r="P83" s="19">
        <v>-5.0000000000000001E-3</v>
      </c>
      <c r="Q83" s="19">
        <v>101.81114721676082</v>
      </c>
      <c r="R83" s="19">
        <v>102.9898126835713</v>
      </c>
      <c r="S83" s="19">
        <v>103.04220223149879</v>
      </c>
    </row>
    <row r="84" spans="1:19" x14ac:dyDescent="0.3">
      <c r="A84" s="26">
        <v>10</v>
      </c>
      <c r="B84" s="33">
        <v>47807</v>
      </c>
      <c r="C84" s="26">
        <v>2.75</v>
      </c>
      <c r="D84" s="26">
        <v>0</v>
      </c>
      <c r="E84" s="26">
        <v>2.75</v>
      </c>
      <c r="F84" s="26">
        <v>2.1171086996416317</v>
      </c>
      <c r="P84" s="19">
        <v>0</v>
      </c>
      <c r="Q84" s="19">
        <v>99.55356436866316</v>
      </c>
      <c r="R84" s="19">
        <v>99.994008181980078</v>
      </c>
      <c r="S84" s="19">
        <v>99.994008181980078</v>
      </c>
    </row>
    <row r="85" spans="1:19" x14ac:dyDescent="0.3">
      <c r="A85" s="26">
        <v>11</v>
      </c>
      <c r="B85" s="33">
        <v>47988</v>
      </c>
      <c r="C85" s="26">
        <v>2.75</v>
      </c>
      <c r="D85" s="26">
        <v>0</v>
      </c>
      <c r="E85" s="26">
        <v>2.75</v>
      </c>
      <c r="F85" s="26">
        <v>2.062453677195939</v>
      </c>
      <c r="P85" s="19">
        <v>5.0000000000000001E-3</v>
      </c>
      <c r="Q85" s="19">
        <v>97.358657803785491</v>
      </c>
      <c r="R85" s="19">
        <v>96.998203680388855</v>
      </c>
      <c r="S85" s="19">
        <v>97.05059322831633</v>
      </c>
    </row>
    <row r="86" spans="1:19" x14ac:dyDescent="0.3">
      <c r="A86" s="26">
        <v>12</v>
      </c>
      <c r="B86" s="33">
        <v>48172</v>
      </c>
      <c r="C86" s="26">
        <v>2.75</v>
      </c>
      <c r="D86" s="26">
        <v>0</v>
      </c>
      <c r="E86" s="26">
        <v>2.75</v>
      </c>
      <c r="F86" s="26">
        <v>2.0092096222074423</v>
      </c>
      <c r="P86" s="19">
        <v>0.01</v>
      </c>
      <c r="Q86" s="19">
        <v>95.224382043812042</v>
      </c>
      <c r="R86" s="19">
        <v>94.002399178797631</v>
      </c>
      <c r="S86" s="19">
        <v>94.211957370507548</v>
      </c>
    </row>
    <row r="87" spans="1:19" x14ac:dyDescent="0.3">
      <c r="A87" s="26">
        <v>13</v>
      </c>
      <c r="B87" s="33">
        <v>48354</v>
      </c>
      <c r="C87" s="26">
        <v>2.75</v>
      </c>
      <c r="D87" s="26">
        <v>0</v>
      </c>
      <c r="E87" s="26">
        <v>2.75</v>
      </c>
      <c r="F87" s="26">
        <v>1.9573401093107086</v>
      </c>
      <c r="P87" s="19">
        <v>0.02</v>
      </c>
      <c r="Q87" s="19">
        <v>91.129919393125149</v>
      </c>
      <c r="R87" s="19">
        <v>88.010790175615185</v>
      </c>
      <c r="S87" s="19">
        <v>88.849022942454866</v>
      </c>
    </row>
    <row r="88" spans="1:19" x14ac:dyDescent="0.3">
      <c r="A88" s="26">
        <v>14</v>
      </c>
      <c r="B88" s="33">
        <v>48538</v>
      </c>
      <c r="C88" s="26">
        <v>2.75</v>
      </c>
      <c r="D88" s="26">
        <v>0</v>
      </c>
      <c r="E88" s="26">
        <v>2.75</v>
      </c>
      <c r="F88" s="26">
        <v>1.9068096534931405</v>
      </c>
    </row>
    <row r="89" spans="1:19" x14ac:dyDescent="0.3">
      <c r="A89" s="26">
        <v>15</v>
      </c>
      <c r="B89" s="33">
        <v>48719</v>
      </c>
      <c r="C89" s="26">
        <v>2.75</v>
      </c>
      <c r="D89" s="26">
        <v>0</v>
      </c>
      <c r="E89" s="26">
        <v>2.75</v>
      </c>
      <c r="F89" s="26">
        <v>1.8575836858189385</v>
      </c>
    </row>
    <row r="90" spans="1:19" x14ac:dyDescent="0.3">
      <c r="A90" s="26">
        <v>16</v>
      </c>
      <c r="B90" s="33">
        <v>48903</v>
      </c>
      <c r="C90" s="26">
        <v>2.75</v>
      </c>
      <c r="D90" s="26">
        <v>0</v>
      </c>
      <c r="E90" s="26">
        <v>2.75</v>
      </c>
      <c r="F90" s="26">
        <v>1.8096285297797745</v>
      </c>
      <c r="P90" s="4" t="s">
        <v>50</v>
      </c>
    </row>
    <row r="91" spans="1:19" x14ac:dyDescent="0.3">
      <c r="A91" s="26">
        <v>17</v>
      </c>
      <c r="B91" s="33">
        <v>49084</v>
      </c>
      <c r="C91" s="26">
        <v>2.75</v>
      </c>
      <c r="D91" s="26">
        <v>0</v>
      </c>
      <c r="E91" s="26">
        <v>2.75</v>
      </c>
      <c r="F91" s="26">
        <v>1.7629113782559909</v>
      </c>
      <c r="P91" s="26" t="s">
        <v>87</v>
      </c>
      <c r="Q91" s="26" t="s">
        <v>88</v>
      </c>
      <c r="R91" s="26" t="s">
        <v>89</v>
      </c>
      <c r="S91" s="26" t="s">
        <v>90</v>
      </c>
    </row>
    <row r="92" spans="1:19" x14ac:dyDescent="0.3">
      <c r="A92" s="26">
        <v>18</v>
      </c>
      <c r="B92" s="33">
        <v>49268</v>
      </c>
      <c r="C92" s="26">
        <v>2.75</v>
      </c>
      <c r="D92" s="26">
        <v>0</v>
      </c>
      <c r="E92" s="26">
        <v>2.75</v>
      </c>
      <c r="F92" s="26">
        <v>1.717400271072568</v>
      </c>
      <c r="P92" s="19">
        <v>-0.02</v>
      </c>
      <c r="Q92" s="19">
        <v>112.30875635359303</v>
      </c>
      <c r="R92" s="19">
        <v>114.96906225395682</v>
      </c>
      <c r="S92" s="19">
        <v>116.16626212288628</v>
      </c>
    </row>
    <row r="93" spans="1:19" x14ac:dyDescent="0.3">
      <c r="A93" s="26">
        <v>19</v>
      </c>
      <c r="B93" s="33">
        <v>49449</v>
      </c>
      <c r="C93" s="26">
        <v>2.75</v>
      </c>
      <c r="D93" s="26">
        <v>0</v>
      </c>
      <c r="E93" s="26">
        <v>2.75</v>
      </c>
      <c r="F93" s="26">
        <v>1.6730640731345034</v>
      </c>
      <c r="P93" s="19">
        <v>-0.01</v>
      </c>
      <c r="Q93" s="19">
        <v>105.62439181685689</v>
      </c>
      <c r="R93" s="19">
        <v>107.48153521796846</v>
      </c>
      <c r="S93" s="19">
        <v>107.78083518520083</v>
      </c>
    </row>
    <row r="94" spans="1:19" x14ac:dyDescent="0.3">
      <c r="A94" s="26">
        <v>20</v>
      </c>
      <c r="B94" s="33">
        <v>49633</v>
      </c>
      <c r="C94" s="26">
        <v>2.75</v>
      </c>
      <c r="D94" s="26">
        <v>100</v>
      </c>
      <c r="E94" s="26">
        <v>102.75</v>
      </c>
      <c r="F94" s="26">
        <v>60.897961657732019</v>
      </c>
      <c r="P94" s="19">
        <v>-5.0000000000000001E-3</v>
      </c>
      <c r="Q94" s="19">
        <v>102.45568210478382</v>
      </c>
      <c r="R94" s="19">
        <v>103.73777169997427</v>
      </c>
      <c r="S94" s="19">
        <v>103.81259669178235</v>
      </c>
    </row>
    <row r="95" spans="1:19" x14ac:dyDescent="0.3">
      <c r="P95" s="19">
        <v>0</v>
      </c>
      <c r="Q95" s="19">
        <v>99.396812178764833</v>
      </c>
      <c r="R95" s="19">
        <v>99.994008181980078</v>
      </c>
      <c r="S95" s="19">
        <v>99.994008181980078</v>
      </c>
    </row>
    <row r="96" spans="1:19" x14ac:dyDescent="0.3">
      <c r="A96" s="4" t="s">
        <v>49</v>
      </c>
      <c r="P96" s="19">
        <v>5.0000000000000001E-3</v>
      </c>
      <c r="Q96" s="19">
        <v>96.443645077985494</v>
      </c>
      <c r="R96" s="19">
        <v>96.250244663985882</v>
      </c>
      <c r="S96" s="19">
        <v>96.325069655793982</v>
      </c>
    </row>
    <row r="97" spans="1:19" x14ac:dyDescent="0.3">
      <c r="A97" s="26" t="s">
        <v>37</v>
      </c>
      <c r="B97" s="26" t="s">
        <v>38</v>
      </c>
      <c r="C97" s="26" t="s">
        <v>39</v>
      </c>
      <c r="D97" s="26" t="s">
        <v>6</v>
      </c>
      <c r="E97" s="26" t="s">
        <v>40</v>
      </c>
      <c r="F97" s="26" t="s">
        <v>41</v>
      </c>
      <c r="P97" s="19">
        <v>0.01</v>
      </c>
      <c r="Q97" s="19">
        <v>93.592210411155961</v>
      </c>
      <c r="R97" s="19">
        <v>92.506481145991714</v>
      </c>
      <c r="S97" s="19">
        <v>92.805781113224072</v>
      </c>
    </row>
    <row r="98" spans="1:19" x14ac:dyDescent="0.3">
      <c r="A98" s="26">
        <v>1</v>
      </c>
      <c r="B98" s="33">
        <v>46346</v>
      </c>
      <c r="C98" s="26">
        <v>3.8</v>
      </c>
      <c r="D98" s="26">
        <v>0</v>
      </c>
      <c r="E98" s="26">
        <v>3.8</v>
      </c>
      <c r="F98" s="26">
        <v>3.6573628488931664</v>
      </c>
      <c r="P98" s="19">
        <v>0.02</v>
      </c>
      <c r="Q98" s="19">
        <v>88.179447293699084</v>
      </c>
      <c r="R98" s="19">
        <v>85.018954110003335</v>
      </c>
      <c r="S98" s="19">
        <v>86.216153978932795</v>
      </c>
    </row>
    <row r="99" spans="1:19" x14ac:dyDescent="0.3">
      <c r="A99" s="26">
        <v>2</v>
      </c>
      <c r="B99" s="33">
        <v>46711</v>
      </c>
      <c r="C99" s="26">
        <v>3.8</v>
      </c>
      <c r="D99" s="26">
        <v>0</v>
      </c>
      <c r="E99" s="26">
        <v>3.8</v>
      </c>
      <c r="F99" s="26">
        <v>3.5200797390694585</v>
      </c>
    </row>
    <row r="100" spans="1:19" x14ac:dyDescent="0.3">
      <c r="A100" s="26">
        <v>3</v>
      </c>
      <c r="B100" s="33">
        <v>47077</v>
      </c>
      <c r="C100" s="26">
        <v>3.8</v>
      </c>
      <c r="D100" s="26">
        <v>0</v>
      </c>
      <c r="E100" s="26">
        <v>3.8</v>
      </c>
      <c r="F100" s="26">
        <v>3.3879497007405761</v>
      </c>
    </row>
    <row r="101" spans="1:19" x14ac:dyDescent="0.3">
      <c r="A101" s="26">
        <v>4</v>
      </c>
      <c r="B101" s="33">
        <v>47442</v>
      </c>
      <c r="C101" s="26">
        <v>3.8</v>
      </c>
      <c r="D101" s="26">
        <v>0</v>
      </c>
      <c r="E101" s="26">
        <v>3.8</v>
      </c>
      <c r="F101" s="26">
        <v>3.2607793077387646</v>
      </c>
      <c r="P101" s="4" t="s">
        <v>51</v>
      </c>
    </row>
    <row r="102" spans="1:19" x14ac:dyDescent="0.3">
      <c r="A102" s="26">
        <v>5</v>
      </c>
      <c r="B102" s="33">
        <v>47807</v>
      </c>
      <c r="C102" s="26">
        <v>3.8</v>
      </c>
      <c r="D102" s="26">
        <v>100</v>
      </c>
      <c r="E102" s="26">
        <v>103.8</v>
      </c>
      <c r="F102" s="26">
        <v>85.727392772221194</v>
      </c>
      <c r="P102" s="26" t="s">
        <v>87</v>
      </c>
      <c r="Q102" s="26" t="s">
        <v>88</v>
      </c>
      <c r="R102" s="26" t="s">
        <v>89</v>
      </c>
      <c r="S102" s="26" t="s">
        <v>90</v>
      </c>
    </row>
    <row r="103" spans="1:19" x14ac:dyDescent="0.3">
      <c r="P103" s="19">
        <v>-0.02</v>
      </c>
      <c r="Q103" s="19">
        <v>104.1686880124915</v>
      </c>
      <c r="R103" s="19">
        <v>104.99170934869815</v>
      </c>
      <c r="S103" s="19">
        <v>105.14160740417137</v>
      </c>
    </row>
    <row r="104" spans="1:19" x14ac:dyDescent="0.3">
      <c r="A104" s="4" t="s">
        <v>50</v>
      </c>
      <c r="P104" s="19">
        <v>-0.01</v>
      </c>
      <c r="Q104" s="19">
        <v>102.15669426866003</v>
      </c>
      <c r="R104" s="19">
        <v>102.49285876533911</v>
      </c>
      <c r="S104" s="19">
        <v>102.53033327920741</v>
      </c>
    </row>
    <row r="105" spans="1:19" x14ac:dyDescent="0.3">
      <c r="A105" s="26" t="s">
        <v>37</v>
      </c>
      <c r="B105" s="26" t="s">
        <v>38</v>
      </c>
      <c r="C105" s="26" t="s">
        <v>39</v>
      </c>
      <c r="D105" s="26" t="s">
        <v>6</v>
      </c>
      <c r="E105" s="26" t="s">
        <v>40</v>
      </c>
      <c r="F105" s="26" t="s">
        <v>41</v>
      </c>
      <c r="P105" s="19">
        <v>-5.0000000000000001E-3</v>
      </c>
      <c r="Q105" s="19">
        <v>101.16914954597389</v>
      </c>
      <c r="R105" s="19">
        <v>101.24343347365958</v>
      </c>
      <c r="S105" s="19">
        <v>101.25280210212667</v>
      </c>
    </row>
    <row r="106" spans="1:19" x14ac:dyDescent="0.3">
      <c r="A106" s="26">
        <v>1</v>
      </c>
      <c r="B106" s="33">
        <v>46162</v>
      </c>
      <c r="C106" s="26">
        <v>2</v>
      </c>
      <c r="D106" s="26">
        <v>0</v>
      </c>
      <c r="E106" s="26">
        <v>2</v>
      </c>
      <c r="F106" s="26">
        <v>1.9598236158745714</v>
      </c>
      <c r="P106" s="19">
        <v>0</v>
      </c>
      <c r="Q106" s="19">
        <v>100.19366523368984</v>
      </c>
      <c r="R106" s="19">
        <v>99.994008181980078</v>
      </c>
      <c r="S106" s="19">
        <v>99.994008181980078</v>
      </c>
    </row>
    <row r="107" spans="1:19" x14ac:dyDescent="0.3">
      <c r="A107" s="26">
        <v>2</v>
      </c>
      <c r="B107" s="33">
        <v>46346</v>
      </c>
      <c r="C107" s="26">
        <v>2</v>
      </c>
      <c r="D107" s="26">
        <v>0</v>
      </c>
      <c r="E107" s="26">
        <v>2</v>
      </c>
      <c r="F107" s="26">
        <v>1.92045430266984</v>
      </c>
      <c r="P107" s="19">
        <v>5.0000000000000001E-3</v>
      </c>
      <c r="Q107" s="19">
        <v>99.23006443536471</v>
      </c>
      <c r="R107" s="19">
        <v>98.744582890300563</v>
      </c>
      <c r="S107" s="19">
        <v>98.753951518767636</v>
      </c>
    </row>
    <row r="108" spans="1:19" x14ac:dyDescent="0.3">
      <c r="A108" s="26">
        <v>3</v>
      </c>
      <c r="B108" s="33">
        <v>46527</v>
      </c>
      <c r="C108" s="26">
        <v>2</v>
      </c>
      <c r="D108" s="26">
        <v>0</v>
      </c>
      <c r="E108" s="26">
        <v>2</v>
      </c>
      <c r="F108" s="26">
        <v>1.8818758477901418</v>
      </c>
      <c r="P108" s="19">
        <v>0.01</v>
      </c>
      <c r="Q108" s="19">
        <v>98.278173278238199</v>
      </c>
      <c r="R108" s="19">
        <v>97.495157598621049</v>
      </c>
      <c r="S108" s="19">
        <v>97.532632112489352</v>
      </c>
    </row>
    <row r="109" spans="1:19" x14ac:dyDescent="0.3">
      <c r="A109" s="26">
        <v>4</v>
      </c>
      <c r="B109" s="33">
        <v>46711</v>
      </c>
      <c r="C109" s="26">
        <v>2</v>
      </c>
      <c r="D109" s="26">
        <v>0</v>
      </c>
      <c r="E109" s="26">
        <v>2</v>
      </c>
      <c r="F109" s="26">
        <v>1.8440723643215502</v>
      </c>
      <c r="P109" s="19">
        <v>0.02</v>
      </c>
      <c r="Q109" s="19">
        <v>96.408839162470727</v>
      </c>
      <c r="R109" s="19">
        <v>94.996307015262005</v>
      </c>
      <c r="S109" s="19">
        <v>95.14620507073522</v>
      </c>
    </row>
    <row r="110" spans="1:19" x14ac:dyDescent="0.3">
      <c r="A110" s="26">
        <v>5</v>
      </c>
      <c r="B110" s="33">
        <v>46893</v>
      </c>
      <c r="C110" s="26">
        <v>2</v>
      </c>
      <c r="D110" s="26">
        <v>0</v>
      </c>
      <c r="E110" s="26">
        <v>2</v>
      </c>
      <c r="F110" s="26">
        <v>1.8070282844895151</v>
      </c>
    </row>
    <row r="111" spans="1:19" x14ac:dyDescent="0.3">
      <c r="A111" s="26">
        <v>6</v>
      </c>
      <c r="B111" s="33">
        <v>47077</v>
      </c>
      <c r="C111" s="26">
        <v>2</v>
      </c>
      <c r="D111" s="26">
        <v>0</v>
      </c>
      <c r="E111" s="26">
        <v>2</v>
      </c>
      <c r="F111" s="26">
        <v>1.7707283532479325</v>
      </c>
    </row>
    <row r="112" spans="1:19" x14ac:dyDescent="0.3">
      <c r="A112" s="26">
        <v>7</v>
      </c>
      <c r="B112" s="33">
        <v>47258</v>
      </c>
      <c r="C112" s="26">
        <v>2</v>
      </c>
      <c r="D112" s="26">
        <v>0</v>
      </c>
      <c r="E112" s="26">
        <v>2</v>
      </c>
      <c r="F112" s="26">
        <v>1.7351576219969942</v>
      </c>
      <c r="P112" s="4" t="s">
        <v>52</v>
      </c>
    </row>
    <row r="113" spans="1:19" x14ac:dyDescent="0.3">
      <c r="A113" s="26">
        <v>8</v>
      </c>
      <c r="B113" s="33">
        <v>47442</v>
      </c>
      <c r="C113" s="26">
        <v>2</v>
      </c>
      <c r="D113" s="26">
        <v>0</v>
      </c>
      <c r="E113" s="26">
        <v>2</v>
      </c>
      <c r="F113" s="26">
        <v>1.700301442427236</v>
      </c>
      <c r="P113" s="26" t="s">
        <v>87</v>
      </c>
      <c r="Q113" s="26" t="s">
        <v>88</v>
      </c>
      <c r="R113" s="26" t="s">
        <v>89</v>
      </c>
      <c r="S113" s="26" t="s">
        <v>90</v>
      </c>
    </row>
    <row r="114" spans="1:19" x14ac:dyDescent="0.3">
      <c r="A114" s="26">
        <v>9</v>
      </c>
      <c r="B114" s="33">
        <v>47623</v>
      </c>
      <c r="C114" s="26">
        <v>2</v>
      </c>
      <c r="D114" s="26">
        <v>0</v>
      </c>
      <c r="E114" s="26">
        <v>2</v>
      </c>
      <c r="F114" s="26">
        <v>1.6661454604872477</v>
      </c>
      <c r="P114" s="19">
        <v>-0.02</v>
      </c>
      <c r="Q114" s="19">
        <v>109.14045299132603</v>
      </c>
      <c r="R114" s="19">
        <v>111.9797413546154</v>
      </c>
      <c r="S114" s="19">
        <v>112.81824226904477</v>
      </c>
    </row>
    <row r="115" spans="1:19" x14ac:dyDescent="0.3">
      <c r="A115" s="26">
        <v>10</v>
      </c>
      <c r="B115" s="33">
        <v>47807</v>
      </c>
      <c r="C115" s="26">
        <v>2</v>
      </c>
      <c r="D115" s="26">
        <v>0</v>
      </c>
      <c r="E115" s="26">
        <v>2</v>
      </c>
      <c r="F115" s="26">
        <v>1.6326756104725599</v>
      </c>
      <c r="P115" s="19">
        <v>-0.01</v>
      </c>
      <c r="Q115" s="19">
        <v>104.20542753899926</v>
      </c>
      <c r="R115" s="19">
        <v>105.98687476829774</v>
      </c>
      <c r="S115" s="19">
        <v>106.19649999690508</v>
      </c>
    </row>
    <row r="116" spans="1:19" x14ac:dyDescent="0.3">
      <c r="A116" s="26">
        <v>11</v>
      </c>
      <c r="B116" s="33">
        <v>47988</v>
      </c>
      <c r="C116" s="26">
        <v>2</v>
      </c>
      <c r="D116" s="26">
        <v>0</v>
      </c>
      <c r="E116" s="26">
        <v>2</v>
      </c>
      <c r="F116" s="26">
        <v>1.5998781092332781</v>
      </c>
      <c r="P116" s="19">
        <v>-5.0000000000000001E-3</v>
      </c>
      <c r="Q116" s="19">
        <v>101.84239093803338</v>
      </c>
      <c r="R116" s="19">
        <v>102.99044147513892</v>
      </c>
      <c r="S116" s="19">
        <v>103.04284778229075</v>
      </c>
    </row>
    <row r="117" spans="1:19" x14ac:dyDescent="0.3">
      <c r="A117" s="26">
        <v>12</v>
      </c>
      <c r="B117" s="33">
        <v>48172</v>
      </c>
      <c r="C117" s="26">
        <v>2</v>
      </c>
      <c r="D117" s="26">
        <v>0</v>
      </c>
      <c r="E117" s="26">
        <v>2</v>
      </c>
      <c r="F117" s="26">
        <v>1.5677394504980677</v>
      </c>
      <c r="P117" s="19">
        <v>0</v>
      </c>
      <c r="Q117" s="19">
        <v>99.545925897633765</v>
      </c>
      <c r="R117" s="19">
        <v>99.994008181980078</v>
      </c>
      <c r="S117" s="19">
        <v>99.994008181980078</v>
      </c>
    </row>
    <row r="118" spans="1:19" x14ac:dyDescent="0.3">
      <c r="A118" s="26">
        <v>13</v>
      </c>
      <c r="B118" s="33">
        <v>48354</v>
      </c>
      <c r="C118" s="26">
        <v>2</v>
      </c>
      <c r="D118" s="26">
        <v>0</v>
      </c>
      <c r="E118" s="26">
        <v>2</v>
      </c>
      <c r="F118" s="26">
        <v>1.5362463993121682</v>
      </c>
      <c r="P118" s="19">
        <v>5.0000000000000001E-3</v>
      </c>
      <c r="Q118" s="19">
        <v>97.313832407394713</v>
      </c>
      <c r="R118" s="19">
        <v>96.997574888821248</v>
      </c>
      <c r="S118" s="19">
        <v>97.049981195973075</v>
      </c>
    </row>
    <row r="119" spans="1:19" x14ac:dyDescent="0.3">
      <c r="A119" s="26">
        <v>14</v>
      </c>
      <c r="B119" s="33">
        <v>48538</v>
      </c>
      <c r="C119" s="26">
        <v>2</v>
      </c>
      <c r="D119" s="26">
        <v>100</v>
      </c>
      <c r="E119" s="26">
        <v>102</v>
      </c>
      <c r="F119" s="26">
        <v>76.774685315943728</v>
      </c>
      <c r="P119" s="19">
        <v>0.01</v>
      </c>
      <c r="Q119" s="19">
        <v>95.143993496812158</v>
      </c>
      <c r="R119" s="19">
        <v>94.001141595662418</v>
      </c>
      <c r="S119" s="19">
        <v>94.210766824269768</v>
      </c>
    </row>
    <row r="120" spans="1:19" x14ac:dyDescent="0.3">
      <c r="P120" s="19">
        <v>0.02</v>
      </c>
      <c r="Q120" s="19">
        <v>90.983005796135132</v>
      </c>
      <c r="R120" s="19">
        <v>88.008275009344743</v>
      </c>
      <c r="S120" s="19">
        <v>88.846775923774118</v>
      </c>
    </row>
    <row r="121" spans="1:19" x14ac:dyDescent="0.3">
      <c r="A121" s="4" t="s">
        <v>51</v>
      </c>
    </row>
    <row r="122" spans="1:19" x14ac:dyDescent="0.3">
      <c r="A122" s="26" t="s">
        <v>37</v>
      </c>
      <c r="B122" s="26" t="s">
        <v>38</v>
      </c>
      <c r="C122" s="26" t="s">
        <v>39</v>
      </c>
      <c r="D122" s="26" t="s">
        <v>6</v>
      </c>
      <c r="E122" s="26" t="s">
        <v>40</v>
      </c>
      <c r="F122" s="26" t="s">
        <v>41</v>
      </c>
    </row>
    <row r="123" spans="1:19" x14ac:dyDescent="0.3">
      <c r="A123" s="26">
        <v>1</v>
      </c>
      <c r="B123" s="33">
        <v>46162</v>
      </c>
      <c r="C123" s="26">
        <v>1.35</v>
      </c>
      <c r="D123" s="26">
        <v>0</v>
      </c>
      <c r="E123" s="26">
        <v>1.35</v>
      </c>
      <c r="F123" s="26">
        <v>1.3326752221125373</v>
      </c>
      <c r="P123" s="4" t="s">
        <v>53</v>
      </c>
    </row>
    <row r="124" spans="1:19" x14ac:dyDescent="0.3">
      <c r="A124" s="26">
        <v>2</v>
      </c>
      <c r="B124" s="33">
        <v>46346</v>
      </c>
      <c r="C124" s="26">
        <v>1.35</v>
      </c>
      <c r="D124" s="26">
        <v>0</v>
      </c>
      <c r="E124" s="26">
        <v>1.35</v>
      </c>
      <c r="F124" s="26">
        <v>1.3155727760242224</v>
      </c>
      <c r="P124" s="26" t="s">
        <v>87</v>
      </c>
      <c r="Q124" s="26" t="s">
        <v>88</v>
      </c>
      <c r="R124" s="26" t="s">
        <v>89</v>
      </c>
      <c r="S124" s="26" t="s">
        <v>90</v>
      </c>
    </row>
    <row r="125" spans="1:19" x14ac:dyDescent="0.3">
      <c r="A125" s="26">
        <v>3</v>
      </c>
      <c r="B125" s="33">
        <v>46527</v>
      </c>
      <c r="C125" s="26">
        <v>1.35</v>
      </c>
      <c r="D125" s="26">
        <v>0</v>
      </c>
      <c r="E125" s="26">
        <v>1.35</v>
      </c>
      <c r="F125" s="26">
        <v>1.2986898085135465</v>
      </c>
      <c r="P125" s="19">
        <v>-0.02</v>
      </c>
      <c r="Q125" s="19">
        <v>117.16863878508211</v>
      </c>
      <c r="R125" s="19">
        <v>120.93511387552461</v>
      </c>
      <c r="S125" s="19">
        <v>123.2361408845007</v>
      </c>
    </row>
    <row r="126" spans="1:19" x14ac:dyDescent="0.3">
      <c r="A126" s="26">
        <v>4</v>
      </c>
      <c r="B126" s="33">
        <v>46711</v>
      </c>
      <c r="C126" s="26">
        <v>1.35</v>
      </c>
      <c r="D126" s="26">
        <v>100</v>
      </c>
      <c r="E126" s="26">
        <v>101.35</v>
      </c>
      <c r="F126" s="26">
        <v>96.246727427039545</v>
      </c>
      <c r="P126" s="19">
        <v>-0.01</v>
      </c>
      <c r="Q126" s="19">
        <v>108.17571667229852</v>
      </c>
      <c r="R126" s="19">
        <v>110.46456102875236</v>
      </c>
      <c r="S126" s="19">
        <v>111.03981778099637</v>
      </c>
    </row>
    <row r="127" spans="1:19" x14ac:dyDescent="0.3">
      <c r="P127" s="19">
        <v>-5.0000000000000001E-3</v>
      </c>
      <c r="Q127" s="19">
        <v>103.99092809249404</v>
      </c>
      <c r="R127" s="19">
        <v>105.2292846053662</v>
      </c>
      <c r="S127" s="19">
        <v>105.3730987934272</v>
      </c>
    </row>
    <row r="128" spans="1:19" x14ac:dyDescent="0.3">
      <c r="A128" s="4" t="s">
        <v>52</v>
      </c>
      <c r="P128" s="19">
        <v>0</v>
      </c>
      <c r="Q128" s="19">
        <v>100.00000000000014</v>
      </c>
      <c r="R128" s="19">
        <v>99.994008181980078</v>
      </c>
      <c r="S128" s="19">
        <v>99.994008181980078</v>
      </c>
    </row>
    <row r="129" spans="1:19" x14ac:dyDescent="0.3">
      <c r="A129" s="26" t="s">
        <v>37</v>
      </c>
      <c r="B129" s="26" t="s">
        <v>38</v>
      </c>
      <c r="C129" s="26" t="s">
        <v>39</v>
      </c>
      <c r="D129" s="26" t="s">
        <v>6</v>
      </c>
      <c r="E129" s="26" t="s">
        <v>40</v>
      </c>
      <c r="F129" s="26" t="s">
        <v>41</v>
      </c>
      <c r="P129" s="19">
        <v>5.0000000000000001E-3</v>
      </c>
      <c r="Q129" s="19">
        <v>96.19318696655597</v>
      </c>
      <c r="R129" s="19">
        <v>94.758731758593939</v>
      </c>
      <c r="S129" s="19">
        <v>94.902545946654939</v>
      </c>
    </row>
    <row r="130" spans="1:19" x14ac:dyDescent="0.3">
      <c r="A130" s="26">
        <v>1</v>
      </c>
      <c r="B130" s="33">
        <v>46346</v>
      </c>
      <c r="C130" s="26">
        <v>3.2</v>
      </c>
      <c r="D130" s="26">
        <v>0</v>
      </c>
      <c r="E130" s="26">
        <v>3.2</v>
      </c>
      <c r="F130" s="26">
        <v>3.097773475314618</v>
      </c>
      <c r="P130" s="19">
        <v>0.01</v>
      </c>
      <c r="Q130" s="19">
        <v>92.561262569772211</v>
      </c>
      <c r="R130" s="19">
        <v>89.523455335207814</v>
      </c>
      <c r="S130" s="19">
        <v>90.09871208745183</v>
      </c>
    </row>
    <row r="131" spans="1:19" x14ac:dyDescent="0.3">
      <c r="A131" s="26">
        <v>2</v>
      </c>
      <c r="B131" s="33">
        <v>46711</v>
      </c>
      <c r="C131" s="26">
        <v>3.2</v>
      </c>
      <c r="D131" s="26">
        <v>0</v>
      </c>
      <c r="E131" s="26">
        <v>3.2</v>
      </c>
      <c r="F131" s="26">
        <v>2.9988126576133771</v>
      </c>
      <c r="P131" s="19">
        <v>0.02</v>
      </c>
      <c r="Q131" s="19">
        <v>85.787596698047807</v>
      </c>
      <c r="R131" s="19">
        <v>79.052902488435549</v>
      </c>
      <c r="S131" s="19">
        <v>81.353929497411642</v>
      </c>
    </row>
    <row r="132" spans="1:19" x14ac:dyDescent="0.3">
      <c r="A132" s="26">
        <v>3</v>
      </c>
      <c r="B132" s="33">
        <v>47077</v>
      </c>
      <c r="C132" s="26">
        <v>3.2</v>
      </c>
      <c r="D132" s="26">
        <v>0</v>
      </c>
      <c r="E132" s="26">
        <v>3.2</v>
      </c>
      <c r="F132" s="26">
        <v>2.9030132213101427</v>
      </c>
    </row>
    <row r="133" spans="1:19" x14ac:dyDescent="0.3">
      <c r="A133" s="26">
        <v>4</v>
      </c>
      <c r="B133" s="33">
        <v>47442</v>
      </c>
      <c r="C133" s="26">
        <v>3.2</v>
      </c>
      <c r="D133" s="26">
        <v>0</v>
      </c>
      <c r="E133" s="26">
        <v>3.2</v>
      </c>
      <c r="F133" s="26">
        <v>2.8102741735819383</v>
      </c>
    </row>
    <row r="134" spans="1:19" x14ac:dyDescent="0.3">
      <c r="A134" s="26">
        <v>5</v>
      </c>
      <c r="B134" s="33">
        <v>47807</v>
      </c>
      <c r="C134" s="26">
        <v>3.2</v>
      </c>
      <c r="D134" s="26">
        <v>100</v>
      </c>
      <c r="E134" s="26">
        <v>103.2</v>
      </c>
      <c r="F134" s="26">
        <v>87.736052369813677</v>
      </c>
      <c r="P134" s="4" t="s">
        <v>54</v>
      </c>
    </row>
    <row r="135" spans="1:19" x14ac:dyDescent="0.3">
      <c r="P135" s="26" t="s">
        <v>87</v>
      </c>
      <c r="Q135" s="26" t="s">
        <v>88</v>
      </c>
      <c r="R135" s="26" t="s">
        <v>89</v>
      </c>
      <c r="S135" s="26" t="s">
        <v>90</v>
      </c>
    </row>
    <row r="136" spans="1:19" x14ac:dyDescent="0.3">
      <c r="A136" s="4" t="s">
        <v>53</v>
      </c>
      <c r="P136" s="19">
        <v>-0.02</v>
      </c>
      <c r="Q136" s="19">
        <v>106.04364395407281</v>
      </c>
      <c r="R136" s="19">
        <v>106.98732841938745</v>
      </c>
      <c r="S136" s="19">
        <v>107.26693678303023</v>
      </c>
    </row>
    <row r="137" spans="1:19" x14ac:dyDescent="0.3">
      <c r="A137" s="26" t="s">
        <v>37</v>
      </c>
      <c r="B137" s="26" t="s">
        <v>38</v>
      </c>
      <c r="C137" s="26" t="s">
        <v>39</v>
      </c>
      <c r="D137" s="26" t="s">
        <v>6</v>
      </c>
      <c r="E137" s="26" t="s">
        <v>40</v>
      </c>
      <c r="F137" s="26" t="s">
        <v>41</v>
      </c>
      <c r="P137" s="19">
        <v>-0.01</v>
      </c>
      <c r="Q137" s="19">
        <v>103.11222195455636</v>
      </c>
      <c r="R137" s="19">
        <v>103.49066830068375</v>
      </c>
      <c r="S137" s="19">
        <v>103.56057039159445</v>
      </c>
    </row>
    <row r="138" spans="1:19" x14ac:dyDescent="0.3">
      <c r="A138" s="26">
        <v>1</v>
      </c>
      <c r="B138" s="33">
        <v>46162</v>
      </c>
      <c r="C138" s="26">
        <v>2.5</v>
      </c>
      <c r="D138" s="26">
        <v>0</v>
      </c>
      <c r="E138" s="26">
        <v>2.5</v>
      </c>
      <c r="F138" s="26">
        <v>2.4390243902439028</v>
      </c>
      <c r="P138" s="19">
        <v>-5.0000000000000001E-3</v>
      </c>
      <c r="Q138" s="19">
        <v>101.68326847061172</v>
      </c>
      <c r="R138" s="19">
        <v>101.74233824133192</v>
      </c>
      <c r="S138" s="19">
        <v>101.75981376405959</v>
      </c>
    </row>
    <row r="139" spans="1:19" x14ac:dyDescent="0.3">
      <c r="A139" s="26">
        <v>2</v>
      </c>
      <c r="B139" s="33">
        <v>46346</v>
      </c>
      <c r="C139" s="26">
        <v>2.5</v>
      </c>
      <c r="D139" s="26">
        <v>0</v>
      </c>
      <c r="E139" s="26">
        <v>2.5</v>
      </c>
      <c r="F139" s="26">
        <v>2.3795359904818563</v>
      </c>
      <c r="P139" s="19">
        <v>0</v>
      </c>
      <c r="Q139" s="19">
        <v>100.27819095451135</v>
      </c>
      <c r="R139" s="19">
        <v>99.994008181980078</v>
      </c>
      <c r="S139" s="19">
        <v>99.994008181980078</v>
      </c>
    </row>
    <row r="140" spans="1:19" x14ac:dyDescent="0.3">
      <c r="A140" s="26">
        <v>3</v>
      </c>
      <c r="B140" s="33">
        <v>46527</v>
      </c>
      <c r="C140" s="26">
        <v>2.5</v>
      </c>
      <c r="D140" s="26">
        <v>0</v>
      </c>
      <c r="E140" s="26">
        <v>2.5</v>
      </c>
      <c r="F140" s="26">
        <v>2.3214985272993722</v>
      </c>
      <c r="P140" s="19">
        <v>5.0000000000000001E-3</v>
      </c>
      <c r="Q140" s="19">
        <v>98.896530417930705</v>
      </c>
      <c r="R140" s="19">
        <v>98.245678122628235</v>
      </c>
      <c r="S140" s="19">
        <v>98.263153645355914</v>
      </c>
    </row>
    <row r="141" spans="1:19" x14ac:dyDescent="0.3">
      <c r="A141" s="26">
        <v>4</v>
      </c>
      <c r="B141" s="33">
        <v>46711</v>
      </c>
      <c r="C141" s="26">
        <v>2.5</v>
      </c>
      <c r="D141" s="26">
        <v>0</v>
      </c>
      <c r="E141" s="26">
        <v>2.5</v>
      </c>
      <c r="F141" s="26">
        <v>2.2648766119993882</v>
      </c>
      <c r="P141" s="19">
        <v>0.01</v>
      </c>
      <c r="Q141" s="19">
        <v>97.537837811565353</v>
      </c>
      <c r="R141" s="19">
        <v>96.497348063276391</v>
      </c>
      <c r="S141" s="19">
        <v>96.567250154187079</v>
      </c>
    </row>
    <row r="142" spans="1:19" x14ac:dyDescent="0.3">
      <c r="A142" s="26">
        <v>5</v>
      </c>
      <c r="B142" s="33">
        <v>46893</v>
      </c>
      <c r="C142" s="26">
        <v>2.5</v>
      </c>
      <c r="D142" s="26">
        <v>0</v>
      </c>
      <c r="E142" s="26">
        <v>2.5</v>
      </c>
      <c r="F142" s="26">
        <v>2.2096357190237934</v>
      </c>
      <c r="P142" s="19">
        <v>0.02</v>
      </c>
      <c r="Q142" s="19">
        <v>94.887608459677111</v>
      </c>
      <c r="R142" s="19">
        <v>93.000687944572718</v>
      </c>
      <c r="S142" s="19">
        <v>93.280296308215483</v>
      </c>
    </row>
    <row r="143" spans="1:19" x14ac:dyDescent="0.3">
      <c r="A143" s="26">
        <v>6</v>
      </c>
      <c r="B143" s="33">
        <v>47077</v>
      </c>
      <c r="C143" s="26">
        <v>2.5</v>
      </c>
      <c r="D143" s="26">
        <v>0</v>
      </c>
      <c r="E143" s="26">
        <v>2.5</v>
      </c>
      <c r="F143" s="26">
        <v>2.155742164901262</v>
      </c>
    </row>
    <row r="144" spans="1:19" x14ac:dyDescent="0.3">
      <c r="A144" s="26">
        <v>7</v>
      </c>
      <c r="B144" s="33">
        <v>47258</v>
      </c>
      <c r="C144" s="26">
        <v>2.5</v>
      </c>
      <c r="D144" s="26">
        <v>0</v>
      </c>
      <c r="E144" s="26">
        <v>2.5</v>
      </c>
      <c r="F144" s="26">
        <v>2.1031630877085479</v>
      </c>
    </row>
    <row r="145" spans="1:19" x14ac:dyDescent="0.3">
      <c r="A145" s="26">
        <v>8</v>
      </c>
      <c r="B145" s="33">
        <v>47442</v>
      </c>
      <c r="C145" s="26">
        <v>2.5</v>
      </c>
      <c r="D145" s="26">
        <v>0</v>
      </c>
      <c r="E145" s="26">
        <v>2.5</v>
      </c>
      <c r="F145" s="26">
        <v>2.0518664270327305</v>
      </c>
      <c r="P145" s="4" t="s">
        <v>55</v>
      </c>
    </row>
    <row r="146" spans="1:19" x14ac:dyDescent="0.3">
      <c r="A146" s="26">
        <v>9</v>
      </c>
      <c r="B146" s="33">
        <v>47623</v>
      </c>
      <c r="C146" s="26">
        <v>2.5</v>
      </c>
      <c r="D146" s="26">
        <v>0</v>
      </c>
      <c r="E146" s="26">
        <v>2.5</v>
      </c>
      <c r="F146" s="26">
        <v>2.0018209044221762</v>
      </c>
      <c r="P146" s="26" t="s">
        <v>87</v>
      </c>
      <c r="Q146" s="26" t="s">
        <v>88</v>
      </c>
      <c r="R146" s="26" t="s">
        <v>89</v>
      </c>
      <c r="S146" s="26" t="s">
        <v>90</v>
      </c>
    </row>
    <row r="147" spans="1:19" x14ac:dyDescent="0.3">
      <c r="A147" s="26">
        <v>10</v>
      </c>
      <c r="B147" s="33">
        <v>47807</v>
      </c>
      <c r="C147" s="26">
        <v>2.5</v>
      </c>
      <c r="D147" s="26">
        <v>0</v>
      </c>
      <c r="E147" s="26">
        <v>2.5</v>
      </c>
      <c r="F147" s="26">
        <v>1.9529960043143182</v>
      </c>
      <c r="P147" s="19">
        <v>-0.02</v>
      </c>
      <c r="Q147" s="19">
        <v>108.05478647205049</v>
      </c>
      <c r="R147" s="19">
        <v>109.98211977775375</v>
      </c>
      <c r="S147" s="19">
        <v>110.58103308740262</v>
      </c>
    </row>
    <row r="148" spans="1:19" x14ac:dyDescent="0.3">
      <c r="A148" s="26">
        <v>11</v>
      </c>
      <c r="B148" s="33">
        <v>47988</v>
      </c>
      <c r="C148" s="26">
        <v>2.5</v>
      </c>
      <c r="D148" s="26">
        <v>0</v>
      </c>
      <c r="E148" s="26">
        <v>2.5</v>
      </c>
      <c r="F148" s="26">
        <v>1.9053619554286034</v>
      </c>
      <c r="P148" s="19">
        <v>-0.01</v>
      </c>
      <c r="Q148" s="19">
        <v>104.1183116647336</v>
      </c>
      <c r="R148" s="19">
        <v>104.98806397986692</v>
      </c>
      <c r="S148" s="19">
        <v>105.13779230727916</v>
      </c>
    </row>
    <row r="149" spans="1:19" x14ac:dyDescent="0.3">
      <c r="A149" s="26">
        <v>12</v>
      </c>
      <c r="B149" s="33">
        <v>48172</v>
      </c>
      <c r="C149" s="26">
        <v>2.5</v>
      </c>
      <c r="D149" s="26">
        <v>0</v>
      </c>
      <c r="E149" s="26">
        <v>2.5</v>
      </c>
      <c r="F149" s="26">
        <v>1.8588897126132717</v>
      </c>
      <c r="P149" s="19">
        <v>-5.0000000000000001E-3</v>
      </c>
      <c r="Q149" s="19">
        <v>102.21963348705735</v>
      </c>
      <c r="R149" s="19">
        <v>102.49103608092349</v>
      </c>
      <c r="S149" s="19">
        <v>102.52846816277655</v>
      </c>
    </row>
    <row r="150" spans="1:19" x14ac:dyDescent="0.3">
      <c r="A150" s="26">
        <v>13</v>
      </c>
      <c r="B150" s="33">
        <v>48354</v>
      </c>
      <c r="C150" s="26">
        <v>2.5</v>
      </c>
      <c r="D150" s="26">
        <v>0</v>
      </c>
      <c r="E150" s="26">
        <v>2.5</v>
      </c>
      <c r="F150" s="26">
        <v>1.8135509391348994</v>
      </c>
      <c r="P150" s="19">
        <v>0</v>
      </c>
      <c r="Q150" s="19">
        <v>100.36557065660845</v>
      </c>
      <c r="R150" s="19">
        <v>99.994008181980078</v>
      </c>
      <c r="S150" s="19">
        <v>99.994008181980078</v>
      </c>
    </row>
    <row r="151" spans="1:19" x14ac:dyDescent="0.3">
      <c r="A151" s="26">
        <v>14</v>
      </c>
      <c r="B151" s="33">
        <v>48538</v>
      </c>
      <c r="C151" s="26">
        <v>2.5</v>
      </c>
      <c r="D151" s="26">
        <v>0</v>
      </c>
      <c r="E151" s="26">
        <v>2.5</v>
      </c>
      <c r="F151" s="26">
        <v>1.769317989399902</v>
      </c>
      <c r="P151" s="19">
        <v>5.0000000000000001E-3</v>
      </c>
      <c r="Q151" s="19">
        <v>98.554859672169144</v>
      </c>
      <c r="R151" s="19">
        <v>97.496980283036649</v>
      </c>
      <c r="S151" s="19">
        <v>97.534412364889704</v>
      </c>
    </row>
    <row r="152" spans="1:19" x14ac:dyDescent="0.3">
      <c r="A152" s="26">
        <v>15</v>
      </c>
      <c r="B152" s="33">
        <v>48719</v>
      </c>
      <c r="C152" s="26">
        <v>2.5</v>
      </c>
      <c r="D152" s="26">
        <v>0</v>
      </c>
      <c r="E152" s="26">
        <v>2.5</v>
      </c>
      <c r="F152" s="26">
        <v>1.7261638920974656</v>
      </c>
      <c r="P152" s="19">
        <v>0.01</v>
      </c>
      <c r="Q152" s="19">
        <v>96.786278733695582</v>
      </c>
      <c r="R152" s="19">
        <v>94.999952384093248</v>
      </c>
      <c r="S152" s="19">
        <v>95.149680711505468</v>
      </c>
    </row>
    <row r="153" spans="1:19" x14ac:dyDescent="0.3">
      <c r="A153" s="26">
        <v>16</v>
      </c>
      <c r="B153" s="33">
        <v>48903</v>
      </c>
      <c r="C153" s="26">
        <v>2.5</v>
      </c>
      <c r="D153" s="26">
        <v>0</v>
      </c>
      <c r="E153" s="26">
        <v>2.5</v>
      </c>
      <c r="F153" s="26">
        <v>1.6840623337536251</v>
      </c>
      <c r="P153" s="19">
        <v>0.02</v>
      </c>
      <c r="Q153" s="19">
        <v>93.37081895595658</v>
      </c>
      <c r="R153" s="19">
        <v>90.00589658620639</v>
      </c>
      <c r="S153" s="19">
        <v>90.604809895855269</v>
      </c>
    </row>
    <row r="154" spans="1:19" x14ac:dyDescent="0.3">
      <c r="A154" s="26">
        <v>17</v>
      </c>
      <c r="B154" s="33">
        <v>49084</v>
      </c>
      <c r="C154" s="26">
        <v>2.5</v>
      </c>
      <c r="D154" s="26">
        <v>0</v>
      </c>
      <c r="E154" s="26">
        <v>2.5</v>
      </c>
      <c r="F154" s="26">
        <v>1.6429876426864638</v>
      </c>
    </row>
    <row r="155" spans="1:19" x14ac:dyDescent="0.3">
      <c r="A155" s="26">
        <v>18</v>
      </c>
      <c r="B155" s="33">
        <v>49268</v>
      </c>
      <c r="C155" s="26">
        <v>2.5</v>
      </c>
      <c r="D155" s="26">
        <v>0</v>
      </c>
      <c r="E155" s="26">
        <v>2.5</v>
      </c>
      <c r="F155" s="26">
        <v>1.6029147733526474</v>
      </c>
    </row>
    <row r="156" spans="1:19" x14ac:dyDescent="0.3">
      <c r="A156" s="26">
        <v>19</v>
      </c>
      <c r="B156" s="33">
        <v>49449</v>
      </c>
      <c r="C156" s="26">
        <v>2.5</v>
      </c>
      <c r="D156" s="26">
        <v>0</v>
      </c>
      <c r="E156" s="26">
        <v>2.5</v>
      </c>
      <c r="F156" s="26">
        <v>1.563819291075754</v>
      </c>
      <c r="P156" s="4" t="s">
        <v>56</v>
      </c>
    </row>
    <row r="157" spans="1:19" x14ac:dyDescent="0.3">
      <c r="A157" s="26">
        <v>20</v>
      </c>
      <c r="B157" s="33">
        <v>49633</v>
      </c>
      <c r="C157" s="26">
        <v>2.5</v>
      </c>
      <c r="D157" s="26">
        <v>100</v>
      </c>
      <c r="E157" s="26">
        <v>102.5</v>
      </c>
      <c r="F157" s="26">
        <v>62.552771643030162</v>
      </c>
      <c r="P157" s="26" t="s">
        <v>87</v>
      </c>
      <c r="Q157" s="26" t="s">
        <v>88</v>
      </c>
      <c r="R157" s="26" t="s">
        <v>89</v>
      </c>
      <c r="S157" s="26" t="s">
        <v>90</v>
      </c>
    </row>
    <row r="158" spans="1:19" x14ac:dyDescent="0.3">
      <c r="P158" s="19">
        <v>-0.02</v>
      </c>
      <c r="Q158" s="19">
        <v>110.62507473872836</v>
      </c>
      <c r="R158" s="19">
        <v>112.97452899413496</v>
      </c>
      <c r="S158" s="19">
        <v>113.88260224264425</v>
      </c>
    </row>
    <row r="159" spans="1:19" x14ac:dyDescent="0.3">
      <c r="A159" s="4" t="s">
        <v>54</v>
      </c>
      <c r="P159" s="19">
        <v>-0.01</v>
      </c>
      <c r="Q159" s="19">
        <v>104.87794004127933</v>
      </c>
      <c r="R159" s="19">
        <v>106.4842685880575</v>
      </c>
      <c r="S159" s="19">
        <v>106.71128690018482</v>
      </c>
    </row>
    <row r="160" spans="1:19" x14ac:dyDescent="0.3">
      <c r="A160" s="26" t="s">
        <v>37</v>
      </c>
      <c r="B160" s="26" t="s">
        <v>38</v>
      </c>
      <c r="C160" s="26" t="s">
        <v>39</v>
      </c>
      <c r="D160" s="26" t="s">
        <v>6</v>
      </c>
      <c r="E160" s="26" t="s">
        <v>40</v>
      </c>
      <c r="F160" s="26" t="s">
        <v>41</v>
      </c>
      <c r="P160" s="19">
        <v>-5.0000000000000001E-3</v>
      </c>
      <c r="Q160" s="19">
        <v>102.13468447620454</v>
      </c>
      <c r="R160" s="19">
        <v>103.2391383850188</v>
      </c>
      <c r="S160" s="19">
        <v>103.29589296305063</v>
      </c>
    </row>
    <row r="161" spans="1:19" x14ac:dyDescent="0.3">
      <c r="A161" s="26">
        <v>1</v>
      </c>
      <c r="B161" s="33">
        <v>46162</v>
      </c>
      <c r="C161" s="26">
        <v>2.25</v>
      </c>
      <c r="D161" s="26">
        <v>0</v>
      </c>
      <c r="E161" s="26">
        <v>2.25</v>
      </c>
      <c r="F161" s="26">
        <v>2.2015655577299413</v>
      </c>
      <c r="P161" s="19">
        <v>0</v>
      </c>
      <c r="Q161" s="19">
        <v>99.474465785872638</v>
      </c>
      <c r="R161" s="19">
        <v>99.994008181980078</v>
      </c>
      <c r="S161" s="19">
        <v>99.994008181980078</v>
      </c>
    </row>
    <row r="162" spans="1:19" x14ac:dyDescent="0.3">
      <c r="A162" s="26">
        <v>2</v>
      </c>
      <c r="B162" s="33">
        <v>46346</v>
      </c>
      <c r="C162" s="26">
        <v>2.25</v>
      </c>
      <c r="D162" s="26">
        <v>0</v>
      </c>
      <c r="E162" s="26">
        <v>2.25</v>
      </c>
      <c r="F162" s="26">
        <v>2.1541737355478876</v>
      </c>
      <c r="P162" s="19">
        <v>5.0000000000000001E-3</v>
      </c>
      <c r="Q162" s="19">
        <v>96.894534180983584</v>
      </c>
      <c r="R162" s="19">
        <v>96.748877978941366</v>
      </c>
      <c r="S162" s="19">
        <v>96.805632556973194</v>
      </c>
    </row>
    <row r="163" spans="1:19" x14ac:dyDescent="0.3">
      <c r="A163" s="26">
        <v>3</v>
      </c>
      <c r="B163" s="33">
        <v>46527</v>
      </c>
      <c r="C163" s="26">
        <v>2.25</v>
      </c>
      <c r="D163" s="26">
        <v>0</v>
      </c>
      <c r="E163" s="26">
        <v>2.25</v>
      </c>
      <c r="F163" s="26">
        <v>2.1078020895771896</v>
      </c>
      <c r="P163" s="19">
        <v>0.01</v>
      </c>
      <c r="Q163" s="19">
        <v>94.392237925586386</v>
      </c>
      <c r="R163" s="19">
        <v>93.503747775902639</v>
      </c>
      <c r="S163" s="19">
        <v>93.730766088029966</v>
      </c>
    </row>
    <row r="164" spans="1:19" x14ac:dyDescent="0.3">
      <c r="A164" s="26">
        <v>4</v>
      </c>
      <c r="B164" s="33">
        <v>46711</v>
      </c>
      <c r="C164" s="26">
        <v>2.25</v>
      </c>
      <c r="D164" s="26">
        <v>0</v>
      </c>
      <c r="E164" s="26">
        <v>2.25</v>
      </c>
      <c r="F164" s="26">
        <v>2.0624286590774847</v>
      </c>
      <c r="P164" s="19">
        <v>0.02</v>
      </c>
      <c r="Q164" s="19">
        <v>89.610412530250244</v>
      </c>
      <c r="R164" s="19">
        <v>87.013487369825214</v>
      </c>
      <c r="S164" s="19">
        <v>87.92156061833451</v>
      </c>
    </row>
    <row r="165" spans="1:19" x14ac:dyDescent="0.3">
      <c r="A165" s="26">
        <v>5</v>
      </c>
      <c r="B165" s="33">
        <v>46893</v>
      </c>
      <c r="C165" s="26">
        <v>2.25</v>
      </c>
      <c r="D165" s="26">
        <v>0</v>
      </c>
      <c r="E165" s="26">
        <v>2.25</v>
      </c>
      <c r="F165" s="26">
        <v>2.0180319560445059</v>
      </c>
    </row>
    <row r="166" spans="1:19" x14ac:dyDescent="0.3">
      <c r="A166" s="26">
        <v>6</v>
      </c>
      <c r="B166" s="33">
        <v>47077</v>
      </c>
      <c r="C166" s="26">
        <v>2.25</v>
      </c>
      <c r="D166" s="26">
        <v>100</v>
      </c>
      <c r="E166" s="26">
        <v>102.25</v>
      </c>
      <c r="F166" s="26">
        <v>89.734188956534339</v>
      </c>
    </row>
    <row r="168" spans="1:19" x14ac:dyDescent="0.3">
      <c r="A168" s="4" t="s">
        <v>55</v>
      </c>
    </row>
    <row r="169" spans="1:19" x14ac:dyDescent="0.3">
      <c r="A169" s="26" t="s">
        <v>37</v>
      </c>
      <c r="B169" s="26" t="s">
        <v>38</v>
      </c>
      <c r="C169" s="26" t="s">
        <v>39</v>
      </c>
      <c r="D169" s="26" t="s">
        <v>6</v>
      </c>
      <c r="E169" s="26" t="s">
        <v>40</v>
      </c>
      <c r="F169" s="26" t="s">
        <v>41</v>
      </c>
    </row>
    <row r="170" spans="1:19" x14ac:dyDescent="0.3">
      <c r="A170" s="26">
        <v>1</v>
      </c>
      <c r="B170" s="33">
        <v>46346</v>
      </c>
      <c r="C170" s="26">
        <v>3.8</v>
      </c>
      <c r="D170" s="26">
        <v>0</v>
      </c>
      <c r="E170" s="26">
        <v>3.8</v>
      </c>
      <c r="F170" s="26">
        <v>3.664416586306654</v>
      </c>
    </row>
    <row r="171" spans="1:19" x14ac:dyDescent="0.3">
      <c r="A171" s="26">
        <v>2</v>
      </c>
      <c r="B171" s="33">
        <v>46711</v>
      </c>
      <c r="C171" s="26">
        <v>3.8</v>
      </c>
      <c r="D171" s="26">
        <v>0</v>
      </c>
      <c r="E171" s="26">
        <v>3.8</v>
      </c>
      <c r="F171" s="26">
        <v>3.5336707678945558</v>
      </c>
    </row>
    <row r="172" spans="1:19" x14ac:dyDescent="0.3">
      <c r="A172" s="26">
        <v>3</v>
      </c>
      <c r="B172" s="33">
        <v>47077</v>
      </c>
      <c r="C172" s="26">
        <v>3.8</v>
      </c>
      <c r="D172" s="26">
        <v>0</v>
      </c>
      <c r="E172" s="26">
        <v>3.8</v>
      </c>
      <c r="F172" s="26">
        <v>3.4075899401104683</v>
      </c>
    </row>
    <row r="173" spans="1:19" x14ac:dyDescent="0.3">
      <c r="A173" s="26">
        <v>4</v>
      </c>
      <c r="B173" s="33">
        <v>47442</v>
      </c>
      <c r="C173" s="26">
        <v>3.8</v>
      </c>
      <c r="D173" s="26">
        <v>100</v>
      </c>
      <c r="E173" s="26">
        <v>103.8</v>
      </c>
      <c r="F173" s="26">
        <v>89.759893362296779</v>
      </c>
    </row>
    <row r="175" spans="1:19" x14ac:dyDescent="0.3">
      <c r="A175" s="4" t="s">
        <v>56</v>
      </c>
    </row>
    <row r="176" spans="1:19" x14ac:dyDescent="0.3">
      <c r="A176" s="26" t="s">
        <v>37</v>
      </c>
      <c r="B176" s="26" t="s">
        <v>38</v>
      </c>
      <c r="C176" s="26" t="s">
        <v>39</v>
      </c>
      <c r="D176" s="26" t="s">
        <v>6</v>
      </c>
      <c r="E176" s="26" t="s">
        <v>40</v>
      </c>
      <c r="F176" s="26" t="s">
        <v>41</v>
      </c>
    </row>
    <row r="177" spans="1:6" x14ac:dyDescent="0.3">
      <c r="A177" s="26">
        <v>1</v>
      </c>
      <c r="B177" s="33">
        <v>46162</v>
      </c>
      <c r="C177" s="26">
        <v>2.0500000000000003</v>
      </c>
      <c r="D177" s="26">
        <v>0</v>
      </c>
      <c r="E177" s="26">
        <v>2.0500000000000003</v>
      </c>
      <c r="F177" s="26">
        <v>2.0078354554358477</v>
      </c>
    </row>
    <row r="178" spans="1:6" x14ac:dyDescent="0.3">
      <c r="A178" s="26">
        <v>2</v>
      </c>
      <c r="B178" s="33">
        <v>46346</v>
      </c>
      <c r="C178" s="26">
        <v>2.0500000000000003</v>
      </c>
      <c r="D178" s="26">
        <v>0</v>
      </c>
      <c r="E178" s="26">
        <v>2.0500000000000003</v>
      </c>
      <c r="F178" s="26">
        <v>1.9665381541976965</v>
      </c>
    </row>
    <row r="179" spans="1:6" x14ac:dyDescent="0.3">
      <c r="A179" s="26">
        <v>3</v>
      </c>
      <c r="B179" s="33">
        <v>46527</v>
      </c>
      <c r="C179" s="26">
        <v>2.0500000000000003</v>
      </c>
      <c r="D179" s="26">
        <v>0</v>
      </c>
      <c r="E179" s="26">
        <v>2.0500000000000003</v>
      </c>
      <c r="F179" s="26">
        <v>1.9260902587636595</v>
      </c>
    </row>
    <row r="180" spans="1:6" x14ac:dyDescent="0.3">
      <c r="A180" s="26">
        <v>4</v>
      </c>
      <c r="B180" s="33">
        <v>46711</v>
      </c>
      <c r="C180" s="26">
        <v>2.0500000000000003</v>
      </c>
      <c r="D180" s="26">
        <v>0</v>
      </c>
      <c r="E180" s="26">
        <v>2.0500000000000003</v>
      </c>
      <c r="F180" s="26">
        <v>1.8864742984952589</v>
      </c>
    </row>
    <row r="181" spans="1:6" x14ac:dyDescent="0.3">
      <c r="A181" s="26">
        <v>5</v>
      </c>
      <c r="B181" s="33">
        <v>46893</v>
      </c>
      <c r="C181" s="26">
        <v>2.0500000000000003</v>
      </c>
      <c r="D181" s="26">
        <v>0</v>
      </c>
      <c r="E181" s="26">
        <v>2.0500000000000003</v>
      </c>
      <c r="F181" s="26">
        <v>1.8476731620913411</v>
      </c>
    </row>
    <row r="182" spans="1:6" x14ac:dyDescent="0.3">
      <c r="A182" s="26">
        <v>6</v>
      </c>
      <c r="B182" s="33">
        <v>47077</v>
      </c>
      <c r="C182" s="26">
        <v>2.0500000000000003</v>
      </c>
      <c r="D182" s="26">
        <v>0</v>
      </c>
      <c r="E182" s="26">
        <v>2.0500000000000003</v>
      </c>
      <c r="F182" s="26">
        <v>1.8096700901972003</v>
      </c>
    </row>
    <row r="183" spans="1:6" x14ac:dyDescent="0.3">
      <c r="A183" s="26">
        <v>7</v>
      </c>
      <c r="B183" s="33">
        <v>47258</v>
      </c>
      <c r="C183" s="26">
        <v>2.0500000000000003</v>
      </c>
      <c r="D183" s="26">
        <v>0</v>
      </c>
      <c r="E183" s="26">
        <v>2.0500000000000003</v>
      </c>
      <c r="F183" s="26">
        <v>1.7724486681657203</v>
      </c>
    </row>
    <row r="184" spans="1:6" x14ac:dyDescent="0.3">
      <c r="A184" s="26">
        <v>8</v>
      </c>
      <c r="B184" s="33">
        <v>47442</v>
      </c>
      <c r="C184" s="26">
        <v>2.0500000000000003</v>
      </c>
      <c r="D184" s="26">
        <v>0</v>
      </c>
      <c r="E184" s="26">
        <v>2.0500000000000003</v>
      </c>
      <c r="F184" s="26">
        <v>1.735992818967405</v>
      </c>
    </row>
    <row r="185" spans="1:6" x14ac:dyDescent="0.3">
      <c r="A185" s="26">
        <v>9</v>
      </c>
      <c r="B185" s="33">
        <v>47623</v>
      </c>
      <c r="C185" s="26">
        <v>2.0500000000000003</v>
      </c>
      <c r="D185" s="26">
        <v>0</v>
      </c>
      <c r="E185" s="26">
        <v>2.0500000000000003</v>
      </c>
      <c r="F185" s="26">
        <v>1.700286796246234</v>
      </c>
    </row>
    <row r="186" spans="1:6" x14ac:dyDescent="0.3">
      <c r="A186" s="26">
        <v>10</v>
      </c>
      <c r="B186" s="33">
        <v>47807</v>
      </c>
      <c r="C186" s="26">
        <v>2.0500000000000003</v>
      </c>
      <c r="D186" s="26">
        <v>0</v>
      </c>
      <c r="E186" s="26">
        <v>2.0500000000000003</v>
      </c>
      <c r="F186" s="26">
        <v>1.665315177518349</v>
      </c>
    </row>
    <row r="187" spans="1:6" x14ac:dyDescent="0.3">
      <c r="A187" s="26">
        <v>11</v>
      </c>
      <c r="B187" s="33">
        <v>47988</v>
      </c>
      <c r="C187" s="26">
        <v>2.0500000000000003</v>
      </c>
      <c r="D187" s="26">
        <v>0</v>
      </c>
      <c r="E187" s="26">
        <v>2.0500000000000003</v>
      </c>
      <c r="F187" s="26">
        <v>1.6310628575106263</v>
      </c>
    </row>
    <row r="188" spans="1:6" x14ac:dyDescent="0.3">
      <c r="A188" s="26">
        <v>12</v>
      </c>
      <c r="B188" s="33">
        <v>48172</v>
      </c>
      <c r="C188" s="26">
        <v>2.0500000000000003</v>
      </c>
      <c r="D188" s="26">
        <v>100</v>
      </c>
      <c r="E188" s="26">
        <v>102.05</v>
      </c>
      <c r="F188" s="26">
        <v>79.525078048283305</v>
      </c>
    </row>
  </sheetData>
  <mergeCells count="5">
    <mergeCell ref="H29:L29"/>
    <mergeCell ref="H30:L30"/>
    <mergeCell ref="H31:L31"/>
    <mergeCell ref="H32:L32"/>
    <mergeCell ref="H33:L3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outMettreAJour_Onglet2">
                <anchor moveWithCells="1">
                  <from>
                    <xdr:col>6</xdr:col>
                    <xdr:colOff>449580</xdr:colOff>
                    <xdr:row>19</xdr:row>
                    <xdr:rowOff>76200</xdr:rowOff>
                  </from>
                  <to>
                    <xdr:col>7</xdr:col>
                    <xdr:colOff>571500</xdr:colOff>
                    <xdr:row>25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2624-E8C4-4D0C-8E46-533F583AFDF8}">
  <sheetPr codeName="Feuil4"/>
  <dimension ref="A1:Q142"/>
  <sheetViews>
    <sheetView workbookViewId="0">
      <selection activeCell="E10" sqref="E10"/>
    </sheetView>
  </sheetViews>
  <sheetFormatPr baseColWidth="10" defaultRowHeight="14.4" x14ac:dyDescent="0.3"/>
  <cols>
    <col min="1" max="1" width="19" bestFit="1" customWidth="1"/>
    <col min="2" max="2" width="9.6640625" bestFit="1" customWidth="1"/>
    <col min="3" max="3" width="14.5546875" bestFit="1" customWidth="1"/>
    <col min="5" max="5" width="20.44140625" bestFit="1" customWidth="1"/>
  </cols>
  <sheetData>
    <row r="1" spans="1:17" x14ac:dyDescent="0.3">
      <c r="A1" t="s">
        <v>57</v>
      </c>
      <c r="B1" t="s">
        <v>37</v>
      </c>
      <c r="C1" t="s">
        <v>58</v>
      </c>
    </row>
    <row r="2" spans="1:17" x14ac:dyDescent="0.3">
      <c r="A2" s="36" t="s">
        <v>22</v>
      </c>
      <c r="B2">
        <v>1</v>
      </c>
      <c r="C2">
        <v>2.4390243902439028</v>
      </c>
      <c r="E2" s="4" t="s">
        <v>59</v>
      </c>
    </row>
    <row r="3" spans="1:17" x14ac:dyDescent="0.3">
      <c r="A3" s="36" t="s">
        <v>22</v>
      </c>
      <c r="B3">
        <v>2</v>
      </c>
      <c r="C3">
        <v>2.3795359904818563</v>
      </c>
      <c r="E3" s="26" t="s">
        <v>60</v>
      </c>
      <c r="F3" s="26" t="s">
        <v>13</v>
      </c>
      <c r="G3" s="26" t="s">
        <v>61</v>
      </c>
      <c r="H3" s="26" t="s">
        <v>62</v>
      </c>
    </row>
    <row r="4" spans="1:17" x14ac:dyDescent="0.3">
      <c r="A4" s="36" t="s">
        <v>22</v>
      </c>
      <c r="B4">
        <v>3</v>
      </c>
      <c r="C4">
        <v>2.3214985272993722</v>
      </c>
      <c r="E4" s="19">
        <f>SUMPRODUCT(Dashboard_Obligation!H2:H16,Dashboard_Obligation!G2:G16)</f>
        <v>14499.131186387112</v>
      </c>
      <c r="F4" s="19">
        <f xml:space="preserve"> SUMPRODUCT(Dashboard_Obligation!J2:J16, Dashboard_Obligation!H2:H16, Dashboard_Obligation!G2:G16) / SUMPRODUCT(Dashboard_Obligation!H2:H16, Dashboard_Obligation!G2:G16)</f>
        <v>5.0719887329301887</v>
      </c>
      <c r="G4" s="19">
        <f xml:space="preserve"> SUMPRODUCT(Dashboard_Obligation!K2:K16, Dashboard_Obligation!H2:H16, Dashboard_Obligation!G2:G16) / SUMPRODUCT(Dashboard_Obligation!H2:H16, Dashboard_Obligation!G2:G16)</f>
        <v>34.257010283929667</v>
      </c>
      <c r="H4" s="19">
        <f xml:space="preserve"> SUMPRODUCT(Dashboard_Obligation!I2:I16, Dashboard_Obligation!H2:H16, Dashboard_Obligation!G2:G16) / SUMPRODUCT(Dashboard_Obligation!H2:H16, Dashboard_Obligation!G2:G16)</f>
        <v>3.886896551724138E-2</v>
      </c>
      <c r="J4" s="54" t="s">
        <v>91</v>
      </c>
      <c r="K4" s="54"/>
      <c r="L4" s="54"/>
      <c r="M4" s="54"/>
      <c r="N4" s="54"/>
      <c r="O4" s="54"/>
      <c r="P4" s="54"/>
      <c r="Q4" s="54"/>
    </row>
    <row r="5" spans="1:17" x14ac:dyDescent="0.3">
      <c r="A5" s="36" t="s">
        <v>22</v>
      </c>
      <c r="B5">
        <v>4</v>
      </c>
      <c r="C5">
        <v>2.2648766119993882</v>
      </c>
    </row>
    <row r="6" spans="1:17" x14ac:dyDescent="0.3">
      <c r="A6" s="36" t="s">
        <v>22</v>
      </c>
      <c r="B6">
        <v>4</v>
      </c>
      <c r="C6">
        <v>90.59506447997552</v>
      </c>
    </row>
    <row r="7" spans="1:17" x14ac:dyDescent="0.3">
      <c r="A7" s="37" t="s">
        <v>23</v>
      </c>
      <c r="B7">
        <v>1</v>
      </c>
      <c r="C7">
        <v>1.9559902200488999</v>
      </c>
    </row>
    <row r="8" spans="1:17" ht="15" thickBot="1" x14ac:dyDescent="0.35">
      <c r="A8" s="37" t="s">
        <v>23</v>
      </c>
      <c r="B8">
        <v>2</v>
      </c>
      <c r="C8">
        <v>1.9129488704634718</v>
      </c>
    </row>
    <row r="9" spans="1:17" x14ac:dyDescent="0.3">
      <c r="A9" s="37" t="s">
        <v>23</v>
      </c>
      <c r="B9">
        <v>3</v>
      </c>
      <c r="C9">
        <v>1.8708546410400704</v>
      </c>
      <c r="I9" s="61" t="s">
        <v>96</v>
      </c>
      <c r="J9" s="62"/>
      <c r="K9" s="62"/>
      <c r="L9" s="62"/>
      <c r="M9" s="62"/>
      <c r="N9" s="62"/>
      <c r="O9" s="62"/>
      <c r="P9" s="63"/>
    </row>
    <row r="10" spans="1:17" x14ac:dyDescent="0.3">
      <c r="A10" s="37" t="s">
        <v>23</v>
      </c>
      <c r="B10">
        <v>4</v>
      </c>
      <c r="C10">
        <v>1.8296866905037363</v>
      </c>
      <c r="I10" s="64" t="s">
        <v>97</v>
      </c>
      <c r="J10" s="65"/>
      <c r="K10" s="65"/>
      <c r="L10" s="65"/>
      <c r="M10" s="65"/>
      <c r="N10" s="65"/>
      <c r="O10" s="65"/>
      <c r="P10" s="66"/>
    </row>
    <row r="11" spans="1:17" ht="15" thickBot="1" x14ac:dyDescent="0.35">
      <c r="A11" s="37" t="s">
        <v>23</v>
      </c>
      <c r="B11">
        <v>5</v>
      </c>
      <c r="C11">
        <v>1.7894246361894732</v>
      </c>
      <c r="I11" s="67" t="s">
        <v>98</v>
      </c>
      <c r="J11" s="68"/>
      <c r="K11" s="68"/>
      <c r="L11" s="68"/>
      <c r="M11" s="68"/>
      <c r="N11" s="68"/>
      <c r="O11" s="68"/>
      <c r="P11" s="69"/>
    </row>
    <row r="12" spans="1:17" x14ac:dyDescent="0.3">
      <c r="A12" s="37" t="s">
        <v>23</v>
      </c>
      <c r="B12">
        <v>6</v>
      </c>
      <c r="C12">
        <v>1.7500485439505851</v>
      </c>
    </row>
    <row r="13" spans="1:17" x14ac:dyDescent="0.3">
      <c r="A13" s="37" t="s">
        <v>23</v>
      </c>
      <c r="B13">
        <v>6</v>
      </c>
      <c r="C13">
        <v>87.502427197529258</v>
      </c>
    </row>
    <row r="14" spans="1:17" x14ac:dyDescent="0.3">
      <c r="A14" s="38" t="s">
        <v>24</v>
      </c>
      <c r="B14">
        <v>1</v>
      </c>
      <c r="C14">
        <v>5.7034220532319386</v>
      </c>
    </row>
    <row r="15" spans="1:17" x14ac:dyDescent="0.3">
      <c r="A15" s="38" t="s">
        <v>24</v>
      </c>
      <c r="B15">
        <v>2</v>
      </c>
      <c r="C15">
        <v>5.4215038528820703</v>
      </c>
    </row>
    <row r="16" spans="1:17" x14ac:dyDescent="0.3">
      <c r="A16" s="38" t="s">
        <v>24</v>
      </c>
      <c r="B16">
        <v>3</v>
      </c>
      <c r="C16">
        <v>5.1535207727015884</v>
      </c>
    </row>
    <row r="17" spans="1:3" x14ac:dyDescent="0.3">
      <c r="A17" s="38" t="s">
        <v>24</v>
      </c>
      <c r="B17">
        <v>4</v>
      </c>
      <c r="C17">
        <v>4.8987840044691904</v>
      </c>
    </row>
    <row r="18" spans="1:3" x14ac:dyDescent="0.3">
      <c r="A18" s="38" t="s">
        <v>24</v>
      </c>
      <c r="B18">
        <v>5</v>
      </c>
      <c r="C18">
        <v>4.6566387875182418</v>
      </c>
    </row>
    <row r="19" spans="1:3" x14ac:dyDescent="0.3">
      <c r="A19" s="38" t="s">
        <v>24</v>
      </c>
      <c r="B19">
        <v>5</v>
      </c>
      <c r="C19">
        <v>77.610646458637362</v>
      </c>
    </row>
    <row r="20" spans="1:3" x14ac:dyDescent="0.3">
      <c r="A20" s="39" t="s">
        <v>25</v>
      </c>
      <c r="B20">
        <v>1</v>
      </c>
      <c r="C20">
        <v>1.7173699705593723</v>
      </c>
    </row>
    <row r="21" spans="1:3" x14ac:dyDescent="0.3">
      <c r="A21" s="39" t="s">
        <v>25</v>
      </c>
      <c r="B21">
        <v>2</v>
      </c>
      <c r="C21">
        <v>1.6853483518737706</v>
      </c>
    </row>
    <row r="22" spans="1:3" x14ac:dyDescent="0.3">
      <c r="A22" s="39" t="s">
        <v>25</v>
      </c>
      <c r="B22">
        <v>3</v>
      </c>
      <c r="C22">
        <v>1.6539237996798537</v>
      </c>
    </row>
    <row r="23" spans="1:3" x14ac:dyDescent="0.3">
      <c r="A23" s="39" t="s">
        <v>25</v>
      </c>
      <c r="B23">
        <v>4</v>
      </c>
      <c r="C23">
        <v>1.6230851812363631</v>
      </c>
    </row>
    <row r="24" spans="1:3" x14ac:dyDescent="0.3">
      <c r="A24" s="39" t="s">
        <v>25</v>
      </c>
      <c r="B24">
        <v>5</v>
      </c>
      <c r="C24">
        <v>1.5928215713801408</v>
      </c>
    </row>
    <row r="25" spans="1:3" x14ac:dyDescent="0.3">
      <c r="A25" s="39" t="s">
        <v>25</v>
      </c>
      <c r="B25">
        <v>6</v>
      </c>
      <c r="C25">
        <v>1.5631222486556826</v>
      </c>
    </row>
    <row r="26" spans="1:3" x14ac:dyDescent="0.3">
      <c r="A26" s="39" t="s">
        <v>25</v>
      </c>
      <c r="B26">
        <v>7</v>
      </c>
      <c r="C26">
        <v>1.5339766915168624</v>
      </c>
    </row>
    <row r="27" spans="1:3" x14ac:dyDescent="0.3">
      <c r="A27" s="39" t="s">
        <v>25</v>
      </c>
      <c r="B27">
        <v>8</v>
      </c>
      <c r="C27">
        <v>1.5053745745994727</v>
      </c>
    </row>
    <row r="28" spans="1:3" x14ac:dyDescent="0.3">
      <c r="A28" s="39" t="s">
        <v>25</v>
      </c>
      <c r="B28">
        <v>8</v>
      </c>
      <c r="C28">
        <v>86.021404262826991</v>
      </c>
    </row>
    <row r="29" spans="1:3" x14ac:dyDescent="0.3">
      <c r="A29" s="40" t="s">
        <v>26</v>
      </c>
      <c r="B29">
        <v>1</v>
      </c>
      <c r="C29">
        <v>1.2327416173570021</v>
      </c>
    </row>
    <row r="30" spans="1:3" x14ac:dyDescent="0.3">
      <c r="A30" s="40" t="s">
        <v>26</v>
      </c>
      <c r="B30">
        <v>2</v>
      </c>
      <c r="C30">
        <v>1.2157215161311654</v>
      </c>
    </row>
    <row r="31" spans="1:3" x14ac:dyDescent="0.3">
      <c r="A31" s="40" t="s">
        <v>26</v>
      </c>
      <c r="B31">
        <v>3</v>
      </c>
      <c r="C31">
        <v>1.1989364064409918</v>
      </c>
    </row>
    <row r="32" spans="1:3" x14ac:dyDescent="0.3">
      <c r="A32" s="40" t="s">
        <v>26</v>
      </c>
      <c r="B32">
        <v>4</v>
      </c>
      <c r="C32">
        <v>1.1823830438274081</v>
      </c>
    </row>
    <row r="33" spans="1:3" x14ac:dyDescent="0.3">
      <c r="A33" s="40" t="s">
        <v>26</v>
      </c>
      <c r="B33">
        <v>5</v>
      </c>
      <c r="C33">
        <v>1.166058228626635</v>
      </c>
    </row>
    <row r="34" spans="1:3" x14ac:dyDescent="0.3">
      <c r="A34" s="40" t="s">
        <v>26</v>
      </c>
      <c r="B34">
        <v>6</v>
      </c>
      <c r="C34">
        <v>1.1499588053517114</v>
      </c>
    </row>
    <row r="35" spans="1:3" x14ac:dyDescent="0.3">
      <c r="A35" s="40" t="s">
        <v>26</v>
      </c>
      <c r="B35">
        <v>6</v>
      </c>
      <c r="C35">
        <v>91.996704428136894</v>
      </c>
    </row>
    <row r="36" spans="1:3" x14ac:dyDescent="0.3">
      <c r="A36" s="41" t="s">
        <v>27</v>
      </c>
      <c r="B36">
        <v>1</v>
      </c>
      <c r="C36">
        <v>4.0345821325648421</v>
      </c>
    </row>
    <row r="37" spans="1:3" x14ac:dyDescent="0.3">
      <c r="A37" s="41" t="s">
        <v>27</v>
      </c>
      <c r="B37">
        <v>2</v>
      </c>
      <c r="C37">
        <v>3.8756792820027299</v>
      </c>
    </row>
    <row r="38" spans="1:3" x14ac:dyDescent="0.3">
      <c r="A38" s="41" t="s">
        <v>27</v>
      </c>
      <c r="B38">
        <v>3</v>
      </c>
      <c r="C38">
        <v>3.72303485302856</v>
      </c>
    </row>
    <row r="39" spans="1:3" x14ac:dyDescent="0.3">
      <c r="A39" s="41" t="s">
        <v>27</v>
      </c>
      <c r="B39">
        <v>4</v>
      </c>
      <c r="C39">
        <v>3.5764023564155236</v>
      </c>
    </row>
    <row r="40" spans="1:3" x14ac:dyDescent="0.3">
      <c r="A40" s="41" t="s">
        <v>27</v>
      </c>
      <c r="B40">
        <v>5</v>
      </c>
      <c r="C40">
        <v>3.4355450109659205</v>
      </c>
    </row>
    <row r="41" spans="1:3" x14ac:dyDescent="0.3">
      <c r="A41" s="41" t="s">
        <v>27</v>
      </c>
      <c r="B41">
        <v>6</v>
      </c>
      <c r="C41">
        <v>3.3002353611584256</v>
      </c>
    </row>
    <row r="42" spans="1:3" x14ac:dyDescent="0.3">
      <c r="A42" s="41" t="s">
        <v>27</v>
      </c>
      <c r="B42">
        <v>7</v>
      </c>
      <c r="C42">
        <v>3.1702549098543962</v>
      </c>
    </row>
    <row r="43" spans="1:3" x14ac:dyDescent="0.3">
      <c r="A43" s="41" t="s">
        <v>27</v>
      </c>
      <c r="B43">
        <v>7</v>
      </c>
      <c r="C43">
        <v>75.482259758437991</v>
      </c>
    </row>
    <row r="44" spans="1:3" x14ac:dyDescent="0.3">
      <c r="A44" s="42" t="s">
        <v>28</v>
      </c>
      <c r="B44">
        <v>1</v>
      </c>
      <c r="C44">
        <v>2.6790063321967854</v>
      </c>
    </row>
    <row r="45" spans="1:3" x14ac:dyDescent="0.3">
      <c r="A45" s="42" t="s">
        <v>28</v>
      </c>
      <c r="B45">
        <v>2</v>
      </c>
      <c r="C45">
        <v>2.6098454283456265</v>
      </c>
    </row>
    <row r="46" spans="1:3" x14ac:dyDescent="0.3">
      <c r="A46" s="42" t="s">
        <v>28</v>
      </c>
      <c r="B46">
        <v>3</v>
      </c>
      <c r="C46">
        <v>2.5424699740337329</v>
      </c>
    </row>
    <row r="47" spans="1:3" x14ac:dyDescent="0.3">
      <c r="A47" s="42" t="s">
        <v>28</v>
      </c>
      <c r="B47">
        <v>4</v>
      </c>
      <c r="C47">
        <v>2.4768338763114786</v>
      </c>
    </row>
    <row r="48" spans="1:3" x14ac:dyDescent="0.3">
      <c r="A48" s="42" t="s">
        <v>28</v>
      </c>
      <c r="B48">
        <v>5</v>
      </c>
      <c r="C48">
        <v>2.4128922321592583</v>
      </c>
    </row>
    <row r="49" spans="1:3" x14ac:dyDescent="0.3">
      <c r="A49" s="42" t="s">
        <v>28</v>
      </c>
      <c r="B49">
        <v>6</v>
      </c>
      <c r="C49">
        <v>2.3506012977683959</v>
      </c>
    </row>
    <row r="50" spans="1:3" x14ac:dyDescent="0.3">
      <c r="A50" s="42" t="s">
        <v>28</v>
      </c>
      <c r="B50">
        <v>7</v>
      </c>
      <c r="C50">
        <v>2.2899184586150958</v>
      </c>
    </row>
    <row r="51" spans="1:3" x14ac:dyDescent="0.3">
      <c r="A51" s="42" t="s">
        <v>28</v>
      </c>
      <c r="B51">
        <v>8</v>
      </c>
      <c r="C51">
        <v>2.2308022003069614</v>
      </c>
    </row>
    <row r="52" spans="1:3" x14ac:dyDescent="0.3">
      <c r="A52" s="42" t="s">
        <v>28</v>
      </c>
      <c r="B52">
        <v>9</v>
      </c>
      <c r="C52">
        <v>2.1732120801821346</v>
      </c>
    </row>
    <row r="53" spans="1:3" x14ac:dyDescent="0.3">
      <c r="A53" s="42" t="s">
        <v>28</v>
      </c>
      <c r="B53">
        <v>10</v>
      </c>
      <c r="C53">
        <v>2.1171086996416317</v>
      </c>
    </row>
    <row r="54" spans="1:3" x14ac:dyDescent="0.3">
      <c r="A54" s="42" t="s">
        <v>28</v>
      </c>
      <c r="B54">
        <v>11</v>
      </c>
      <c r="C54">
        <v>2.062453677195939</v>
      </c>
    </row>
    <row r="55" spans="1:3" x14ac:dyDescent="0.3">
      <c r="A55" s="42" t="s">
        <v>28</v>
      </c>
      <c r="B55">
        <v>12</v>
      </c>
      <c r="C55">
        <v>2.0092096222074423</v>
      </c>
    </row>
    <row r="56" spans="1:3" x14ac:dyDescent="0.3">
      <c r="A56" s="42" t="s">
        <v>28</v>
      </c>
      <c r="B56">
        <v>13</v>
      </c>
      <c r="C56">
        <v>1.9573401093107086</v>
      </c>
    </row>
    <row r="57" spans="1:3" x14ac:dyDescent="0.3">
      <c r="A57" s="42" t="s">
        <v>28</v>
      </c>
      <c r="B57">
        <v>14</v>
      </c>
      <c r="C57">
        <v>1.9068096534931405</v>
      </c>
    </row>
    <row r="58" spans="1:3" x14ac:dyDescent="0.3">
      <c r="A58" s="42" t="s">
        <v>28</v>
      </c>
      <c r="B58">
        <v>15</v>
      </c>
      <c r="C58">
        <v>1.8575836858189385</v>
      </c>
    </row>
    <row r="59" spans="1:3" x14ac:dyDescent="0.3">
      <c r="A59" s="42" t="s">
        <v>28</v>
      </c>
      <c r="B59">
        <v>16</v>
      </c>
      <c r="C59">
        <v>1.8096285297797745</v>
      </c>
    </row>
    <row r="60" spans="1:3" x14ac:dyDescent="0.3">
      <c r="A60" s="42" t="s">
        <v>28</v>
      </c>
      <c r="B60">
        <v>17</v>
      </c>
      <c r="C60">
        <v>1.7629113782559909</v>
      </c>
    </row>
    <row r="61" spans="1:3" x14ac:dyDescent="0.3">
      <c r="A61" s="42" t="s">
        <v>28</v>
      </c>
      <c r="B61">
        <v>18</v>
      </c>
      <c r="C61">
        <v>1.717400271072568</v>
      </c>
    </row>
    <row r="62" spans="1:3" x14ac:dyDescent="0.3">
      <c r="A62" s="42" t="s">
        <v>28</v>
      </c>
      <c r="B62">
        <v>19</v>
      </c>
      <c r="C62">
        <v>1.6730640731345034</v>
      </c>
    </row>
    <row r="63" spans="1:3" x14ac:dyDescent="0.3">
      <c r="A63" s="42" t="s">
        <v>28</v>
      </c>
      <c r="B63">
        <v>20</v>
      </c>
      <c r="C63">
        <v>1.6298724531266475</v>
      </c>
    </row>
    <row r="64" spans="1:3" x14ac:dyDescent="0.3">
      <c r="A64" s="42" t="s">
        <v>28</v>
      </c>
      <c r="B64">
        <v>20</v>
      </c>
      <c r="C64">
        <v>59.268089204605367</v>
      </c>
    </row>
    <row r="65" spans="1:3" x14ac:dyDescent="0.3">
      <c r="A65" s="43" t="s">
        <v>29</v>
      </c>
      <c r="B65">
        <v>1</v>
      </c>
      <c r="C65">
        <v>3.6573628488931664</v>
      </c>
    </row>
    <row r="66" spans="1:3" x14ac:dyDescent="0.3">
      <c r="A66" s="43" t="s">
        <v>29</v>
      </c>
      <c r="B66">
        <v>2</v>
      </c>
      <c r="C66">
        <v>3.5200797390694585</v>
      </c>
    </row>
    <row r="67" spans="1:3" x14ac:dyDescent="0.3">
      <c r="A67" s="43" t="s">
        <v>29</v>
      </c>
      <c r="B67">
        <v>3</v>
      </c>
      <c r="C67">
        <v>3.3879497007405761</v>
      </c>
    </row>
    <row r="68" spans="1:3" x14ac:dyDescent="0.3">
      <c r="A68" s="43" t="s">
        <v>29</v>
      </c>
      <c r="B68">
        <v>4</v>
      </c>
      <c r="C68">
        <v>3.2607793077387646</v>
      </c>
    </row>
    <row r="69" spans="1:3" x14ac:dyDescent="0.3">
      <c r="A69" s="43" t="s">
        <v>29</v>
      </c>
      <c r="B69">
        <v>5</v>
      </c>
      <c r="C69">
        <v>3.1383823943587719</v>
      </c>
    </row>
    <row r="70" spans="1:3" x14ac:dyDescent="0.3">
      <c r="A70" s="43" t="s">
        <v>29</v>
      </c>
      <c r="B70">
        <v>5</v>
      </c>
      <c r="C70">
        <v>82.589010377862422</v>
      </c>
    </row>
    <row r="71" spans="1:3" x14ac:dyDescent="0.3">
      <c r="A71" s="44" t="s">
        <v>30</v>
      </c>
      <c r="B71">
        <v>1</v>
      </c>
      <c r="C71">
        <v>1.9598236158745714</v>
      </c>
    </row>
    <row r="72" spans="1:3" x14ac:dyDescent="0.3">
      <c r="A72" s="44" t="s">
        <v>30</v>
      </c>
      <c r="B72">
        <v>2</v>
      </c>
      <c r="C72">
        <v>1.92045430266984</v>
      </c>
    </row>
    <row r="73" spans="1:3" x14ac:dyDescent="0.3">
      <c r="A73" s="44" t="s">
        <v>30</v>
      </c>
      <c r="B73">
        <v>3</v>
      </c>
      <c r="C73">
        <v>1.8818758477901418</v>
      </c>
    </row>
    <row r="74" spans="1:3" x14ac:dyDescent="0.3">
      <c r="A74" s="44" t="s">
        <v>30</v>
      </c>
      <c r="B74">
        <v>4</v>
      </c>
      <c r="C74">
        <v>1.8440723643215502</v>
      </c>
    </row>
    <row r="75" spans="1:3" x14ac:dyDescent="0.3">
      <c r="A75" s="44" t="s">
        <v>30</v>
      </c>
      <c r="B75">
        <v>5</v>
      </c>
      <c r="C75">
        <v>1.8070282844895151</v>
      </c>
    </row>
    <row r="76" spans="1:3" x14ac:dyDescent="0.3">
      <c r="A76" s="44" t="s">
        <v>30</v>
      </c>
      <c r="B76">
        <v>6</v>
      </c>
      <c r="C76">
        <v>1.7707283532479325</v>
      </c>
    </row>
    <row r="77" spans="1:3" x14ac:dyDescent="0.3">
      <c r="A77" s="44" t="s">
        <v>30</v>
      </c>
      <c r="B77">
        <v>7</v>
      </c>
      <c r="C77">
        <v>1.7351576219969942</v>
      </c>
    </row>
    <row r="78" spans="1:3" x14ac:dyDescent="0.3">
      <c r="A78" s="44" t="s">
        <v>30</v>
      </c>
      <c r="B78">
        <v>8</v>
      </c>
      <c r="C78">
        <v>1.700301442427236</v>
      </c>
    </row>
    <row r="79" spans="1:3" x14ac:dyDescent="0.3">
      <c r="A79" s="44" t="s">
        <v>30</v>
      </c>
      <c r="B79">
        <v>9</v>
      </c>
      <c r="C79">
        <v>1.6661454604872477</v>
      </c>
    </row>
    <row r="80" spans="1:3" x14ac:dyDescent="0.3">
      <c r="A80" s="44" t="s">
        <v>30</v>
      </c>
      <c r="B80">
        <v>10</v>
      </c>
      <c r="C80">
        <v>1.6326756104725599</v>
      </c>
    </row>
    <row r="81" spans="1:3" x14ac:dyDescent="0.3">
      <c r="A81" s="44" t="s">
        <v>30</v>
      </c>
      <c r="B81">
        <v>11</v>
      </c>
      <c r="C81">
        <v>1.5998781092332781</v>
      </c>
    </row>
    <row r="82" spans="1:3" x14ac:dyDescent="0.3">
      <c r="A82" s="44" t="s">
        <v>30</v>
      </c>
      <c r="B82">
        <v>12</v>
      </c>
      <c r="C82">
        <v>1.5677394504980677</v>
      </c>
    </row>
    <row r="83" spans="1:3" x14ac:dyDescent="0.3">
      <c r="A83" s="44" t="s">
        <v>30</v>
      </c>
      <c r="B83">
        <v>13</v>
      </c>
      <c r="C83">
        <v>1.5362463993121682</v>
      </c>
    </row>
    <row r="84" spans="1:3" x14ac:dyDescent="0.3">
      <c r="A84" s="44" t="s">
        <v>30</v>
      </c>
      <c r="B84">
        <v>14</v>
      </c>
      <c r="C84">
        <v>1.505385986587132</v>
      </c>
    </row>
    <row r="85" spans="1:3" x14ac:dyDescent="0.3">
      <c r="A85" s="44" t="s">
        <v>30</v>
      </c>
      <c r="B85">
        <v>14</v>
      </c>
      <c r="C85">
        <v>75.269299329356599</v>
      </c>
    </row>
    <row r="86" spans="1:3" x14ac:dyDescent="0.3">
      <c r="A86" s="45" t="s">
        <v>31</v>
      </c>
      <c r="B86">
        <v>1</v>
      </c>
      <c r="C86">
        <v>1.3326752221125373</v>
      </c>
    </row>
    <row r="87" spans="1:3" x14ac:dyDescent="0.3">
      <c r="A87" s="45" t="s">
        <v>31</v>
      </c>
      <c r="B87">
        <v>2</v>
      </c>
      <c r="C87">
        <v>1.3155727760242224</v>
      </c>
    </row>
    <row r="88" spans="1:3" x14ac:dyDescent="0.3">
      <c r="A88" s="45" t="s">
        <v>31</v>
      </c>
      <c r="B88">
        <v>3</v>
      </c>
      <c r="C88">
        <v>1.2986898085135465</v>
      </c>
    </row>
    <row r="89" spans="1:3" x14ac:dyDescent="0.3">
      <c r="A89" s="45" t="s">
        <v>31</v>
      </c>
      <c r="B89">
        <v>4</v>
      </c>
      <c r="C89">
        <v>1.2820235029748732</v>
      </c>
    </row>
    <row r="90" spans="1:3" x14ac:dyDescent="0.3">
      <c r="A90" s="45" t="s">
        <v>31</v>
      </c>
      <c r="B90">
        <v>4</v>
      </c>
      <c r="C90">
        <v>94.964703924064679</v>
      </c>
    </row>
    <row r="91" spans="1:3" x14ac:dyDescent="0.3">
      <c r="A91" s="46" t="s">
        <v>32</v>
      </c>
      <c r="B91">
        <v>1</v>
      </c>
      <c r="C91">
        <v>3.097773475314618</v>
      </c>
    </row>
    <row r="92" spans="1:3" x14ac:dyDescent="0.3">
      <c r="A92" s="46" t="s">
        <v>32</v>
      </c>
      <c r="B92">
        <v>2</v>
      </c>
      <c r="C92">
        <v>2.9988126576133771</v>
      </c>
    </row>
    <row r="93" spans="1:3" x14ac:dyDescent="0.3">
      <c r="A93" s="46" t="s">
        <v>32</v>
      </c>
      <c r="B93">
        <v>3</v>
      </c>
      <c r="C93">
        <v>2.9030132213101427</v>
      </c>
    </row>
    <row r="94" spans="1:3" x14ac:dyDescent="0.3">
      <c r="A94" s="46" t="s">
        <v>32</v>
      </c>
      <c r="B94">
        <v>4</v>
      </c>
      <c r="C94">
        <v>2.8102741735819383</v>
      </c>
    </row>
    <row r="95" spans="1:3" x14ac:dyDescent="0.3">
      <c r="A95" s="46" t="s">
        <v>32</v>
      </c>
      <c r="B95">
        <v>5</v>
      </c>
      <c r="C95">
        <v>2.7204977479011996</v>
      </c>
    </row>
    <row r="96" spans="1:3" x14ac:dyDescent="0.3">
      <c r="A96" s="46" t="s">
        <v>32</v>
      </c>
      <c r="B96">
        <v>5</v>
      </c>
      <c r="C96">
        <v>85.015554621912486</v>
      </c>
    </row>
    <row r="97" spans="1:3" x14ac:dyDescent="0.3">
      <c r="A97" s="4" t="s">
        <v>33</v>
      </c>
      <c r="B97">
        <v>1</v>
      </c>
      <c r="C97">
        <v>2.4390243902439028</v>
      </c>
    </row>
    <row r="98" spans="1:3" x14ac:dyDescent="0.3">
      <c r="A98" s="4" t="s">
        <v>33</v>
      </c>
      <c r="B98">
        <v>2</v>
      </c>
      <c r="C98">
        <v>2.3795359904818563</v>
      </c>
    </row>
    <row r="99" spans="1:3" x14ac:dyDescent="0.3">
      <c r="A99" s="4" t="s">
        <v>33</v>
      </c>
      <c r="B99">
        <v>3</v>
      </c>
      <c r="C99">
        <v>2.3214985272993722</v>
      </c>
    </row>
    <row r="100" spans="1:3" x14ac:dyDescent="0.3">
      <c r="A100" s="4" t="s">
        <v>33</v>
      </c>
      <c r="B100">
        <v>4</v>
      </c>
      <c r="C100">
        <v>2.2648766119993882</v>
      </c>
    </row>
    <row r="101" spans="1:3" x14ac:dyDescent="0.3">
      <c r="A101" s="4" t="s">
        <v>33</v>
      </c>
      <c r="B101">
        <v>5</v>
      </c>
      <c r="C101">
        <v>2.2096357190237934</v>
      </c>
    </row>
    <row r="102" spans="1:3" x14ac:dyDescent="0.3">
      <c r="A102" s="4" t="s">
        <v>33</v>
      </c>
      <c r="B102">
        <v>6</v>
      </c>
      <c r="C102">
        <v>2.155742164901262</v>
      </c>
    </row>
    <row r="103" spans="1:3" x14ac:dyDescent="0.3">
      <c r="A103" s="4" t="s">
        <v>33</v>
      </c>
      <c r="B103">
        <v>7</v>
      </c>
      <c r="C103">
        <v>2.1031630877085479</v>
      </c>
    </row>
    <row r="104" spans="1:3" x14ac:dyDescent="0.3">
      <c r="A104" s="4" t="s">
        <v>33</v>
      </c>
      <c r="B104">
        <v>8</v>
      </c>
      <c r="C104">
        <v>2.0518664270327305</v>
      </c>
    </row>
    <row r="105" spans="1:3" x14ac:dyDescent="0.3">
      <c r="A105" s="4" t="s">
        <v>33</v>
      </c>
      <c r="B105">
        <v>9</v>
      </c>
      <c r="C105">
        <v>2.0018209044221762</v>
      </c>
    </row>
    <row r="106" spans="1:3" x14ac:dyDescent="0.3">
      <c r="A106" s="4" t="s">
        <v>33</v>
      </c>
      <c r="B106">
        <v>10</v>
      </c>
      <c r="C106">
        <v>1.9529960043143182</v>
      </c>
    </row>
    <row r="107" spans="1:3" x14ac:dyDescent="0.3">
      <c r="A107" s="4" t="s">
        <v>33</v>
      </c>
      <c r="B107">
        <v>11</v>
      </c>
      <c r="C107">
        <v>1.9053619554286034</v>
      </c>
    </row>
    <row r="108" spans="1:3" x14ac:dyDescent="0.3">
      <c r="A108" s="4" t="s">
        <v>33</v>
      </c>
      <c r="B108">
        <v>12</v>
      </c>
      <c r="C108">
        <v>1.8588897126132717</v>
      </c>
    </row>
    <row r="109" spans="1:3" x14ac:dyDescent="0.3">
      <c r="A109" s="4" t="s">
        <v>33</v>
      </c>
      <c r="B109">
        <v>13</v>
      </c>
      <c r="C109">
        <v>1.8135509391348994</v>
      </c>
    </row>
    <row r="110" spans="1:3" x14ac:dyDescent="0.3">
      <c r="A110" s="4" t="s">
        <v>33</v>
      </c>
      <c r="B110">
        <v>14</v>
      </c>
      <c r="C110">
        <v>1.769317989399902</v>
      </c>
    </row>
    <row r="111" spans="1:3" x14ac:dyDescent="0.3">
      <c r="A111" s="4" t="s">
        <v>33</v>
      </c>
      <c r="B111">
        <v>15</v>
      </c>
      <c r="C111">
        <v>1.7261638920974656</v>
      </c>
    </row>
    <row r="112" spans="1:3" x14ac:dyDescent="0.3">
      <c r="A112" s="4" t="s">
        <v>33</v>
      </c>
      <c r="B112">
        <v>16</v>
      </c>
      <c r="C112">
        <v>1.6840623337536251</v>
      </c>
    </row>
    <row r="113" spans="1:3" x14ac:dyDescent="0.3">
      <c r="A113" s="4" t="s">
        <v>33</v>
      </c>
      <c r="B113">
        <v>17</v>
      </c>
      <c r="C113">
        <v>1.6429876426864638</v>
      </c>
    </row>
    <row r="114" spans="1:3" x14ac:dyDescent="0.3">
      <c r="A114" s="4" t="s">
        <v>33</v>
      </c>
      <c r="B114">
        <v>18</v>
      </c>
      <c r="C114">
        <v>1.6029147733526474</v>
      </c>
    </row>
    <row r="115" spans="1:3" x14ac:dyDescent="0.3">
      <c r="A115" s="4" t="s">
        <v>33</v>
      </c>
      <c r="B115">
        <v>19</v>
      </c>
      <c r="C115">
        <v>1.563819291075754</v>
      </c>
    </row>
    <row r="116" spans="1:3" x14ac:dyDescent="0.3">
      <c r="A116" s="4" t="s">
        <v>33</v>
      </c>
      <c r="B116">
        <v>20</v>
      </c>
      <c r="C116">
        <v>1.5256773571470772</v>
      </c>
    </row>
    <row r="117" spans="1:3" x14ac:dyDescent="0.3">
      <c r="A117" s="4" t="s">
        <v>33</v>
      </c>
      <c r="B117">
        <v>20</v>
      </c>
      <c r="C117">
        <v>61.027094285883088</v>
      </c>
    </row>
    <row r="118" spans="1:3" x14ac:dyDescent="0.3">
      <c r="A118" s="47" t="s">
        <v>34</v>
      </c>
      <c r="B118">
        <v>1</v>
      </c>
      <c r="C118">
        <v>2.2015655577299413</v>
      </c>
    </row>
    <row r="119" spans="1:3" x14ac:dyDescent="0.3">
      <c r="A119" s="47" t="s">
        <v>34</v>
      </c>
      <c r="B119">
        <v>2</v>
      </c>
      <c r="C119">
        <v>2.1541737355478876</v>
      </c>
    </row>
    <row r="120" spans="1:3" x14ac:dyDescent="0.3">
      <c r="A120" s="47" t="s">
        <v>34</v>
      </c>
      <c r="B120">
        <v>3</v>
      </c>
      <c r="C120">
        <v>2.1078020895771896</v>
      </c>
    </row>
    <row r="121" spans="1:3" x14ac:dyDescent="0.3">
      <c r="A121" s="47" t="s">
        <v>34</v>
      </c>
      <c r="B121">
        <v>4</v>
      </c>
      <c r="C121">
        <v>2.0624286590774847</v>
      </c>
    </row>
    <row r="122" spans="1:3" x14ac:dyDescent="0.3">
      <c r="A122" s="47" t="s">
        <v>34</v>
      </c>
      <c r="B122">
        <v>5</v>
      </c>
      <c r="C122">
        <v>2.0180319560445059</v>
      </c>
    </row>
    <row r="123" spans="1:3" x14ac:dyDescent="0.3">
      <c r="A123" s="47" t="s">
        <v>34</v>
      </c>
      <c r="B123">
        <v>6</v>
      </c>
      <c r="C123">
        <v>1.9745909550337628</v>
      </c>
    </row>
    <row r="124" spans="1:3" x14ac:dyDescent="0.3">
      <c r="A124" s="47" t="s">
        <v>34</v>
      </c>
      <c r="B124">
        <v>6</v>
      </c>
      <c r="C124">
        <v>87.759598001500578</v>
      </c>
    </row>
    <row r="125" spans="1:3" x14ac:dyDescent="0.3">
      <c r="A125" s="48" t="s">
        <v>35</v>
      </c>
      <c r="B125">
        <v>1</v>
      </c>
      <c r="C125">
        <v>3.664416586306654</v>
      </c>
    </row>
    <row r="126" spans="1:3" x14ac:dyDescent="0.3">
      <c r="A126" s="48" t="s">
        <v>35</v>
      </c>
      <c r="B126">
        <v>2</v>
      </c>
      <c r="C126">
        <v>3.5336707678945558</v>
      </c>
    </row>
    <row r="127" spans="1:3" x14ac:dyDescent="0.3">
      <c r="A127" s="48" t="s">
        <v>35</v>
      </c>
      <c r="B127">
        <v>3</v>
      </c>
      <c r="C127">
        <v>3.4075899401104683</v>
      </c>
    </row>
    <row r="128" spans="1:3" x14ac:dyDescent="0.3">
      <c r="A128" s="48" t="s">
        <v>35</v>
      </c>
      <c r="B128">
        <v>4</v>
      </c>
      <c r="C128">
        <v>3.2860076568085526</v>
      </c>
    </row>
    <row r="129" spans="1:3" x14ac:dyDescent="0.3">
      <c r="A129" s="48" t="s">
        <v>35</v>
      </c>
      <c r="B129">
        <v>4</v>
      </c>
      <c r="C129">
        <v>86.473885705488229</v>
      </c>
    </row>
    <row r="130" spans="1:3" x14ac:dyDescent="0.3">
      <c r="A130" s="49" t="s">
        <v>36</v>
      </c>
      <c r="B130">
        <v>1</v>
      </c>
      <c r="C130">
        <v>2.0078354554358477</v>
      </c>
    </row>
    <row r="131" spans="1:3" x14ac:dyDescent="0.3">
      <c r="A131" s="49" t="s">
        <v>36</v>
      </c>
      <c r="B131">
        <v>2</v>
      </c>
      <c r="C131">
        <v>1.9665381541976965</v>
      </c>
    </row>
    <row r="132" spans="1:3" x14ac:dyDescent="0.3">
      <c r="A132" s="49" t="s">
        <v>36</v>
      </c>
      <c r="B132">
        <v>3</v>
      </c>
      <c r="C132">
        <v>1.9260902587636595</v>
      </c>
    </row>
    <row r="133" spans="1:3" x14ac:dyDescent="0.3">
      <c r="A133" s="49" t="s">
        <v>36</v>
      </c>
      <c r="B133">
        <v>4</v>
      </c>
      <c r="C133">
        <v>1.8864742984952589</v>
      </c>
    </row>
    <row r="134" spans="1:3" x14ac:dyDescent="0.3">
      <c r="A134" s="49" t="s">
        <v>36</v>
      </c>
      <c r="B134">
        <v>5</v>
      </c>
      <c r="C134">
        <v>1.8476731620913411</v>
      </c>
    </row>
    <row r="135" spans="1:3" x14ac:dyDescent="0.3">
      <c r="A135" s="49" t="s">
        <v>36</v>
      </c>
      <c r="B135">
        <v>6</v>
      </c>
      <c r="C135">
        <v>1.8096700901972003</v>
      </c>
    </row>
    <row r="136" spans="1:3" x14ac:dyDescent="0.3">
      <c r="A136" s="49" t="s">
        <v>36</v>
      </c>
      <c r="B136">
        <v>7</v>
      </c>
      <c r="C136">
        <v>1.7724486681657203</v>
      </c>
    </row>
    <row r="137" spans="1:3" x14ac:dyDescent="0.3">
      <c r="A137" s="49" t="s">
        <v>36</v>
      </c>
      <c r="B137">
        <v>8</v>
      </c>
      <c r="C137">
        <v>1.735992818967405</v>
      </c>
    </row>
    <row r="138" spans="1:3" x14ac:dyDescent="0.3">
      <c r="A138" s="49" t="s">
        <v>36</v>
      </c>
      <c r="B138">
        <v>9</v>
      </c>
      <c r="C138">
        <v>1.700286796246234</v>
      </c>
    </row>
    <row r="139" spans="1:3" x14ac:dyDescent="0.3">
      <c r="A139" s="49" t="s">
        <v>36</v>
      </c>
      <c r="B139">
        <v>10</v>
      </c>
      <c r="C139">
        <v>1.665315177518349</v>
      </c>
    </row>
    <row r="140" spans="1:3" x14ac:dyDescent="0.3">
      <c r="A140" s="49" t="s">
        <v>36</v>
      </c>
      <c r="B140">
        <v>11</v>
      </c>
      <c r="C140">
        <v>1.6310628575106263</v>
      </c>
    </row>
    <row r="141" spans="1:3" x14ac:dyDescent="0.3">
      <c r="A141" s="49" t="s">
        <v>36</v>
      </c>
      <c r="B141">
        <v>12</v>
      </c>
      <c r="C141">
        <v>1.5975150416362645</v>
      </c>
    </row>
    <row r="142" spans="1:3" x14ac:dyDescent="0.3">
      <c r="A142" s="49" t="s">
        <v>36</v>
      </c>
      <c r="B142">
        <v>12</v>
      </c>
      <c r="C142">
        <v>77.927563006647034</v>
      </c>
    </row>
  </sheetData>
  <mergeCells count="4">
    <mergeCell ref="J4:Q4"/>
    <mergeCell ref="I9:P9"/>
    <mergeCell ref="I10:P10"/>
    <mergeCell ref="I11:P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outMettreAJour_Onglet3">
                <anchor moveWithCells="1">
                  <from>
                    <xdr:col>5</xdr:col>
                    <xdr:colOff>213360</xdr:colOff>
                    <xdr:row>8</xdr:row>
                    <xdr:rowOff>60960</xdr:rowOff>
                  </from>
                  <to>
                    <xdr:col>6</xdr:col>
                    <xdr:colOff>746760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17E1F-8417-4D86-8A85-0DF156FC4054}">
  <sheetPr codeName="Feuil5"/>
  <dimension ref="A1:H31"/>
  <sheetViews>
    <sheetView workbookViewId="0">
      <selection activeCell="A24" sqref="A24"/>
    </sheetView>
  </sheetViews>
  <sheetFormatPr baseColWidth="10" defaultRowHeight="14.4" x14ac:dyDescent="0.3"/>
  <cols>
    <col min="2" max="2" width="17.33203125" customWidth="1"/>
    <col min="3" max="3" width="12.44140625" customWidth="1"/>
    <col min="4" max="4" width="13.77734375" customWidth="1"/>
    <col min="5" max="5" width="25.44140625" customWidth="1"/>
    <col min="6" max="6" width="20.33203125" customWidth="1"/>
    <col min="8" max="8" width="25.6640625" bestFit="1" customWidth="1"/>
  </cols>
  <sheetData>
    <row r="1" spans="1:8" ht="15" thickBot="1" x14ac:dyDescent="0.35">
      <c r="A1" s="12" t="s">
        <v>63</v>
      </c>
      <c r="B1" s="12" t="s">
        <v>64</v>
      </c>
      <c r="C1" s="12" t="s">
        <v>65</v>
      </c>
      <c r="D1" s="12" t="s">
        <v>66</v>
      </c>
      <c r="E1" s="12" t="s">
        <v>67</v>
      </c>
      <c r="F1" s="12" t="s">
        <v>68</v>
      </c>
      <c r="H1" s="51" t="s">
        <v>82</v>
      </c>
    </row>
    <row r="2" spans="1:8" ht="15" thickBot="1" x14ac:dyDescent="0.35">
      <c r="A2" s="50" t="s">
        <v>69</v>
      </c>
      <c r="B2" s="12">
        <v>8.3333333333333329E-2</v>
      </c>
      <c r="C2" s="12">
        <v>0</v>
      </c>
      <c r="D2" s="12">
        <v>0</v>
      </c>
      <c r="E2" s="12">
        <v>0</v>
      </c>
      <c r="F2" s="12">
        <v>0</v>
      </c>
      <c r="H2" s="11">
        <v>0.03</v>
      </c>
    </row>
    <row r="3" spans="1:8" x14ac:dyDescent="0.3">
      <c r="A3" s="50" t="s">
        <v>70</v>
      </c>
      <c r="B3" s="12">
        <v>0.25</v>
      </c>
      <c r="C3" s="12">
        <v>0</v>
      </c>
      <c r="D3" s="12">
        <v>0</v>
      </c>
      <c r="E3" s="12">
        <v>0</v>
      </c>
      <c r="F3" s="12">
        <v>0</v>
      </c>
    </row>
    <row r="4" spans="1:8" x14ac:dyDescent="0.3">
      <c r="A4" s="50" t="s">
        <v>71</v>
      </c>
      <c r="B4" s="12">
        <v>0.5</v>
      </c>
      <c r="C4" s="12">
        <v>0</v>
      </c>
      <c r="D4" s="12">
        <v>0</v>
      </c>
      <c r="E4" s="12">
        <v>0</v>
      </c>
      <c r="F4" s="12">
        <v>0</v>
      </c>
    </row>
    <row r="5" spans="1:8" x14ac:dyDescent="0.3">
      <c r="A5" s="50" t="s">
        <v>72</v>
      </c>
      <c r="B5" s="12">
        <v>1</v>
      </c>
      <c r="C5" s="12">
        <v>40.12261386811398</v>
      </c>
      <c r="D5" s="12">
        <v>38.953994046712602</v>
      </c>
      <c r="E5" s="12">
        <v>0.970873786407767</v>
      </c>
      <c r="F5" s="12">
        <v>1.8851918182675087</v>
      </c>
    </row>
    <row r="6" spans="1:8" x14ac:dyDescent="0.3">
      <c r="A6" s="50" t="s">
        <v>73</v>
      </c>
      <c r="B6" s="12">
        <v>2</v>
      </c>
      <c r="C6" s="12">
        <v>38.889421415679585</v>
      </c>
      <c r="D6" s="12">
        <v>36.657009534998195</v>
      </c>
      <c r="E6" s="12">
        <v>1.941747572815534</v>
      </c>
      <c r="F6" s="12">
        <v>5.6555754548025261</v>
      </c>
    </row>
    <row r="7" spans="1:8" x14ac:dyDescent="0.3">
      <c r="A7" s="50" t="s">
        <v>74</v>
      </c>
      <c r="B7" s="12">
        <v>3</v>
      </c>
      <c r="C7" s="12">
        <v>37.698748368329269</v>
      </c>
      <c r="D7" s="12">
        <v>34.499695137330065</v>
      </c>
      <c r="E7" s="12">
        <v>2.9126213592233001</v>
      </c>
      <c r="F7" s="12">
        <v>11.31115090960505</v>
      </c>
    </row>
    <row r="8" spans="1:8" x14ac:dyDescent="0.3">
      <c r="A8" s="50" t="s">
        <v>75</v>
      </c>
      <c r="B8" s="12">
        <v>4</v>
      </c>
      <c r="C8" s="12">
        <v>308.58264244928932</v>
      </c>
      <c r="D8" s="12">
        <v>274.17168102779158</v>
      </c>
      <c r="E8" s="12">
        <v>3.883495145631068</v>
      </c>
      <c r="F8" s="12">
        <v>18.851918182675089</v>
      </c>
    </row>
    <row r="9" spans="1:8" x14ac:dyDescent="0.3">
      <c r="A9" s="50" t="s">
        <v>76</v>
      </c>
      <c r="B9" s="12">
        <v>5</v>
      </c>
      <c r="C9" s="12">
        <v>416.55155491287695</v>
      </c>
      <c r="D9" s="12">
        <v>359.32103041673003</v>
      </c>
      <c r="E9" s="12">
        <v>4.8543689320388355</v>
      </c>
      <c r="F9" s="12">
        <v>28.277877274012621</v>
      </c>
    </row>
    <row r="10" spans="1:8" x14ac:dyDescent="0.3">
      <c r="A10" s="50" t="s">
        <v>77</v>
      </c>
      <c r="B10" s="12">
        <v>7</v>
      </c>
      <c r="C10" s="12">
        <v>296.63987581789786</v>
      </c>
      <c r="D10" s="12">
        <v>241.19536495347936</v>
      </c>
      <c r="E10" s="12">
        <v>6.7961165048543659</v>
      </c>
      <c r="F10" s="12">
        <v>52.785370911490233</v>
      </c>
    </row>
    <row r="11" spans="1:8" x14ac:dyDescent="0.3">
      <c r="A11" s="50" t="s">
        <v>78</v>
      </c>
      <c r="B11" s="12">
        <v>10</v>
      </c>
      <c r="C11" s="12">
        <v>119.09289251208546</v>
      </c>
      <c r="D11" s="12">
        <v>88.616296625692542</v>
      </c>
      <c r="E11" s="12">
        <v>9.7087378640776674</v>
      </c>
      <c r="F11" s="12">
        <v>103.68555000471297</v>
      </c>
    </row>
    <row r="12" spans="1:8" x14ac:dyDescent="0.3">
      <c r="A12" s="50" t="s">
        <v>79</v>
      </c>
      <c r="B12" s="12">
        <v>15</v>
      </c>
      <c r="C12" s="12">
        <v>113.36679326095933</v>
      </c>
      <c r="D12" s="12">
        <v>72.765830692600431</v>
      </c>
      <c r="E12" s="12">
        <v>14.563106796116502</v>
      </c>
      <c r="F12" s="12">
        <v>226.22301819210102</v>
      </c>
    </row>
    <row r="13" spans="1:8" x14ac:dyDescent="0.3">
      <c r="A13" s="50" t="s">
        <v>80</v>
      </c>
      <c r="B13" s="12">
        <v>20</v>
      </c>
      <c r="C13" s="12">
        <v>130.09352679986918</v>
      </c>
      <c r="D13" s="12">
        <v>72.029631565677676</v>
      </c>
      <c r="E13" s="12">
        <v>19.417475728155342</v>
      </c>
      <c r="F13" s="12">
        <v>395.89028183617688</v>
      </c>
    </row>
    <row r="14" spans="1:8" x14ac:dyDescent="0.3">
      <c r="A14" s="50" t="s">
        <v>81</v>
      </c>
      <c r="B14" s="12">
        <v>30</v>
      </c>
      <c r="C14" s="12">
        <v>0</v>
      </c>
      <c r="D14" s="12">
        <v>0</v>
      </c>
      <c r="E14" s="12">
        <v>0</v>
      </c>
      <c r="F14" s="12">
        <v>0</v>
      </c>
    </row>
    <row r="26" spans="2:6" ht="15" thickBot="1" x14ac:dyDescent="0.35"/>
    <row r="27" spans="2:6" x14ac:dyDescent="0.3">
      <c r="B27" s="61" t="s">
        <v>99</v>
      </c>
      <c r="C27" s="62"/>
      <c r="D27" s="62"/>
      <c r="E27" s="62"/>
      <c r="F27" s="63"/>
    </row>
    <row r="28" spans="2:6" x14ac:dyDescent="0.3">
      <c r="B28" s="64" t="s">
        <v>100</v>
      </c>
      <c r="C28" s="65"/>
      <c r="D28" s="65"/>
      <c r="E28" s="65"/>
      <c r="F28" s="66"/>
    </row>
    <row r="29" spans="2:6" x14ac:dyDescent="0.3">
      <c r="B29" s="64" t="s">
        <v>101</v>
      </c>
      <c r="C29" s="65"/>
      <c r="D29" s="65"/>
      <c r="E29" s="65"/>
      <c r="F29" s="66"/>
    </row>
    <row r="30" spans="2:6" x14ac:dyDescent="0.3">
      <c r="B30" s="64" t="s">
        <v>102</v>
      </c>
      <c r="C30" s="65"/>
      <c r="D30" s="65"/>
      <c r="E30" s="65"/>
      <c r="F30" s="66"/>
    </row>
    <row r="31" spans="2:6" ht="15" thickBot="1" x14ac:dyDescent="0.35">
      <c r="B31" s="67" t="s">
        <v>103</v>
      </c>
      <c r="C31" s="68"/>
      <c r="D31" s="68"/>
      <c r="E31" s="68"/>
      <c r="F31" s="69"/>
    </row>
  </sheetData>
  <mergeCells count="5">
    <mergeCell ref="B27:F27"/>
    <mergeCell ref="B28:F28"/>
    <mergeCell ref="B29:F29"/>
    <mergeCell ref="B30:F30"/>
    <mergeCell ref="B31:F3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Tout Mettre à Jour">
              <controlPr defaultSize="0" print="0" autoFill="0" autoPict="0" macro="[0]!ToutMettreAJour_Onglet4">
                <anchor moveWithCells="1">
                  <from>
                    <xdr:col>4</xdr:col>
                    <xdr:colOff>30480</xdr:colOff>
                    <xdr:row>16</xdr:row>
                    <xdr:rowOff>53340</xdr:rowOff>
                  </from>
                  <to>
                    <xdr:col>5</xdr:col>
                    <xdr:colOff>525780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outon_Rapport">
                <anchor moveWithCells="1">
                  <from>
                    <xdr:col>1</xdr:col>
                    <xdr:colOff>381000</xdr:colOff>
                    <xdr:row>17</xdr:row>
                    <xdr:rowOff>7620</xdr:rowOff>
                  </from>
                  <to>
                    <xdr:col>3</xdr:col>
                    <xdr:colOff>510540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D83A-1BBD-466F-979E-9DC5D9EC4451}">
  <sheetPr codeName="Feuil6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22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0.05</v>
      </c>
    </row>
    <row r="4" spans="1:2" x14ac:dyDescent="0.3">
      <c r="A4" t="s">
        <v>84</v>
      </c>
      <c r="B4">
        <v>2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0.05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0.05</v>
      </c>
    </row>
    <row r="10" spans="1:2" x14ac:dyDescent="0.3">
      <c r="A10" t="s">
        <v>13</v>
      </c>
      <c r="B10">
        <v>2.4981260932033713</v>
      </c>
    </row>
    <row r="11" spans="1:2" x14ac:dyDescent="0.3">
      <c r="A11" t="s">
        <v>61</v>
      </c>
      <c r="B11">
        <v>7.4912565585645483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F0FE-26D4-463A-B3A8-E49625912AA9}">
  <sheetPr codeName="Feuil7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23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0.04</v>
      </c>
    </row>
    <row r="4" spans="1:2" x14ac:dyDescent="0.3">
      <c r="A4" t="s">
        <v>84</v>
      </c>
      <c r="B4">
        <v>3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4.4999999999999998E-2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4.4999999999999998E-2</v>
      </c>
    </row>
    <row r="10" spans="1:2" x14ac:dyDescent="0.3">
      <c r="A10" t="s">
        <v>13</v>
      </c>
      <c r="B10">
        <v>3.4971140940807586</v>
      </c>
    </row>
    <row r="11" spans="1:2" x14ac:dyDescent="0.3">
      <c r="A11" t="s">
        <v>61</v>
      </c>
      <c r="B11">
        <v>13.982512724739731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11F96-B361-42BF-84F7-48D6E114835A}">
  <sheetPr codeName="Feuil8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24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0.06</v>
      </c>
    </row>
    <row r="4" spans="1:2" x14ac:dyDescent="0.3">
      <c r="A4" t="s">
        <v>84</v>
      </c>
      <c r="B4">
        <v>5</v>
      </c>
    </row>
    <row r="5" spans="1:2" x14ac:dyDescent="0.3">
      <c r="A5" t="s">
        <v>1</v>
      </c>
      <c r="B5">
        <v>1</v>
      </c>
    </row>
    <row r="6" spans="1:2" x14ac:dyDescent="0.3">
      <c r="A6" t="s">
        <v>85</v>
      </c>
      <c r="B6">
        <v>5.1999999999999998E-2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5.1999999999999998E-2</v>
      </c>
    </row>
    <row r="10" spans="1:2" x14ac:dyDescent="0.3">
      <c r="A10" t="s">
        <v>13</v>
      </c>
      <c r="B10">
        <v>5.9879007888445628</v>
      </c>
    </row>
    <row r="11" spans="1:2" x14ac:dyDescent="0.3">
      <c r="A11" t="s">
        <v>61</v>
      </c>
      <c r="B11">
        <v>41.872583763249438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8B8CD-7637-4749-8603-E1E9AE1DD6D1}">
  <sheetPr codeName="Feuil9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25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3.5000000000000003E-2</v>
      </c>
    </row>
    <row r="4" spans="1:2" x14ac:dyDescent="0.3">
      <c r="A4" t="s">
        <v>84</v>
      </c>
      <c r="B4">
        <v>4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3.7999999999999999E-2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3.7999999999999999E-2</v>
      </c>
    </row>
    <row r="10" spans="1:2" x14ac:dyDescent="0.3">
      <c r="A10" t="s">
        <v>13</v>
      </c>
      <c r="B10">
        <v>4.4959973769732597</v>
      </c>
    </row>
    <row r="11" spans="1:2" x14ac:dyDescent="0.3">
      <c r="A11" t="s">
        <v>61</v>
      </c>
      <c r="B11">
        <v>22.470472348739751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1C18B-DBAB-46BF-972A-F23F1F6E4802}">
  <sheetPr codeName="Feuil10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26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2.5000000000000001E-2</v>
      </c>
    </row>
    <row r="4" spans="1:2" x14ac:dyDescent="0.3">
      <c r="A4" t="s">
        <v>84</v>
      </c>
      <c r="B4">
        <v>3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2.8000000000000001E-2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2.8000000000000001E-2</v>
      </c>
    </row>
    <row r="10" spans="1:2" x14ac:dyDescent="0.3">
      <c r="A10" t="s">
        <v>13</v>
      </c>
      <c r="B10">
        <v>3.4981981240746292</v>
      </c>
    </row>
    <row r="11" spans="1:2" x14ac:dyDescent="0.3">
      <c r="A11" t="s">
        <v>61</v>
      </c>
      <c r="B11">
        <v>13.989084969102077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394F3-DD9F-4724-AF4D-00515E0D546D}">
  <sheetPr codeName="Feuil11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27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4.2000000000000003E-2</v>
      </c>
    </row>
    <row r="4" spans="1:2" x14ac:dyDescent="0.3">
      <c r="A4" t="s">
        <v>84</v>
      </c>
      <c r="B4">
        <v>7</v>
      </c>
    </row>
    <row r="5" spans="1:2" x14ac:dyDescent="0.3">
      <c r="A5" t="s">
        <v>1</v>
      </c>
      <c r="B5">
        <v>1</v>
      </c>
    </row>
    <row r="6" spans="1:2" x14ac:dyDescent="0.3">
      <c r="A6" t="s">
        <v>85</v>
      </c>
      <c r="B6">
        <v>4.1000000000000002E-2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4.1000000000000002E-2</v>
      </c>
    </row>
    <row r="10" spans="1:2" x14ac:dyDescent="0.3">
      <c r="A10" t="s">
        <v>13</v>
      </c>
      <c r="B10">
        <v>7.9849814283857121</v>
      </c>
    </row>
    <row r="11" spans="1:2" x14ac:dyDescent="0.3">
      <c r="A11" t="s">
        <v>61</v>
      </c>
      <c r="B11">
        <v>71.80018946437886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7F97-099D-4B91-9629-C44A53405CF0}">
  <sheetPr codeName="Feuil12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28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5.5E-2</v>
      </c>
    </row>
    <row r="4" spans="1:2" x14ac:dyDescent="0.3">
      <c r="A4" t="s">
        <v>84</v>
      </c>
      <c r="B4">
        <v>10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5.2999999999999999E-2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5.2999999999999999E-2</v>
      </c>
    </row>
    <row r="10" spans="1:2" x14ac:dyDescent="0.3">
      <c r="A10" t="s">
        <v>13</v>
      </c>
      <c r="B10">
        <v>10.468412645645772</v>
      </c>
    </row>
    <row r="11" spans="1:2" x14ac:dyDescent="0.3">
      <c r="A11" t="s">
        <v>61</v>
      </c>
      <c r="B11">
        <v>115.01652780934582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FDB6-FD80-4EBA-AA39-5C2A13A7308F}">
  <sheetPr codeName="Feuil13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29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3.7999999999999999E-2</v>
      </c>
    </row>
    <row r="4" spans="1:2" x14ac:dyDescent="0.3">
      <c r="A4" t="s">
        <v>84</v>
      </c>
      <c r="B4">
        <v>5</v>
      </c>
    </row>
    <row r="5" spans="1:2" x14ac:dyDescent="0.3">
      <c r="A5" t="s">
        <v>1</v>
      </c>
      <c r="B5">
        <v>1</v>
      </c>
    </row>
    <row r="6" spans="1:2" x14ac:dyDescent="0.3">
      <c r="A6" t="s">
        <v>85</v>
      </c>
      <c r="B6">
        <v>3.9E-2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3.9E-2</v>
      </c>
    </row>
    <row r="10" spans="1:2" x14ac:dyDescent="0.3">
      <c r="A10" t="s">
        <v>13</v>
      </c>
      <c r="B10">
        <v>5.9919680310026742</v>
      </c>
    </row>
    <row r="11" spans="1:2" x14ac:dyDescent="0.3">
      <c r="A11" t="s">
        <v>61</v>
      </c>
      <c r="B11">
        <v>41.914149761562314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A2636-6836-4E95-90A4-5D47382F8673}">
  <sheetPr codeName="Feuil14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30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0.04</v>
      </c>
    </row>
    <row r="4" spans="1:2" x14ac:dyDescent="0.3">
      <c r="A4" t="s">
        <v>84</v>
      </c>
      <c r="B4">
        <v>7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4.1000000000000002E-2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4.1000000000000002E-2</v>
      </c>
    </row>
    <row r="10" spans="1:2" x14ac:dyDescent="0.3">
      <c r="A10" t="s">
        <v>13</v>
      </c>
      <c r="B10">
        <v>7.4879757018658006</v>
      </c>
    </row>
    <row r="11" spans="1:2" x14ac:dyDescent="0.3">
      <c r="A11" t="s">
        <v>61</v>
      </c>
      <c r="B11">
        <v>59.863580363268063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325F-E6DC-468F-9CDD-FD225FA54DD7}">
  <sheetPr codeName="Feuil15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31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2.7E-2</v>
      </c>
    </row>
    <row r="4" spans="1:2" x14ac:dyDescent="0.3">
      <c r="A4" t="s">
        <v>84</v>
      </c>
      <c r="B4">
        <v>2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2.5999999999999999E-2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2.5999999999999999E-2</v>
      </c>
    </row>
    <row r="10" spans="1:2" x14ac:dyDescent="0.3">
      <c r="A10" t="s">
        <v>13</v>
      </c>
      <c r="B10">
        <v>2.4990003189104595</v>
      </c>
    </row>
    <row r="11" spans="1:2" x14ac:dyDescent="0.3">
      <c r="A11" t="s">
        <v>61</v>
      </c>
      <c r="B11">
        <v>7.4953518815051901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7627C-17D9-49F1-9A7E-DB371B75ED40}">
  <sheetPr codeName="Feuil16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32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3.2000000000000001E-2</v>
      </c>
    </row>
    <row r="4" spans="1:2" x14ac:dyDescent="0.3">
      <c r="A4" t="s">
        <v>84</v>
      </c>
      <c r="B4">
        <v>5</v>
      </c>
    </row>
    <row r="5" spans="1:2" x14ac:dyDescent="0.3">
      <c r="A5" t="s">
        <v>1</v>
      </c>
      <c r="B5">
        <v>1</v>
      </c>
    </row>
    <row r="6" spans="1:2" x14ac:dyDescent="0.3">
      <c r="A6" t="s">
        <v>85</v>
      </c>
      <c r="B6">
        <v>3.3000000000000002E-2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3.3000000000000002E-2</v>
      </c>
    </row>
    <row r="10" spans="1:2" x14ac:dyDescent="0.3">
      <c r="A10" t="s">
        <v>13</v>
      </c>
      <c r="B10">
        <v>5.9932256894945004</v>
      </c>
    </row>
    <row r="11" spans="1:2" x14ac:dyDescent="0.3">
      <c r="A11" t="s">
        <v>61</v>
      </c>
      <c r="B11">
        <v>41.927557944440835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6433-E4C1-458F-9AA4-8EA995B5130C}">
  <sheetPr codeName="Feuil17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33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0.05</v>
      </c>
    </row>
    <row r="4" spans="1:2" x14ac:dyDescent="0.3">
      <c r="A4" t="s">
        <v>84</v>
      </c>
      <c r="B4">
        <v>10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0.05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0.05</v>
      </c>
    </row>
    <row r="10" spans="1:2" x14ac:dyDescent="0.3">
      <c r="A10" t="s">
        <v>13</v>
      </c>
      <c r="B10">
        <v>10.471180260838032</v>
      </c>
    </row>
    <row r="11" spans="1:2" x14ac:dyDescent="0.3">
      <c r="A11" t="s">
        <v>61</v>
      </c>
      <c r="B11">
        <v>115.05824452943321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8565-0579-4479-B67B-617BDFDBAD27}">
  <sheetPr codeName="Feuil18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34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4.4999999999999998E-2</v>
      </c>
    </row>
    <row r="4" spans="1:2" x14ac:dyDescent="0.3">
      <c r="A4" t="s">
        <v>84</v>
      </c>
      <c r="B4">
        <v>3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4.3999999999999997E-2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4.3999999999999997E-2</v>
      </c>
    </row>
    <row r="10" spans="1:2" x14ac:dyDescent="0.3">
      <c r="A10" t="s">
        <v>13</v>
      </c>
      <c r="B10">
        <v>3.4968696447691916</v>
      </c>
    </row>
    <row r="11" spans="1:2" x14ac:dyDescent="0.3">
      <c r="A11" t="s">
        <v>61</v>
      </c>
      <c r="B11">
        <v>13.981255913549706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F9393-A3DE-4FA0-B26C-677D10D19B0F}">
  <sheetPr codeName="Feuil19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35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3.7999999999999999E-2</v>
      </c>
    </row>
    <row r="4" spans="1:2" x14ac:dyDescent="0.3">
      <c r="A4" t="s">
        <v>84</v>
      </c>
      <c r="B4">
        <v>4</v>
      </c>
    </row>
    <row r="5" spans="1:2" x14ac:dyDescent="0.3">
      <c r="A5" t="s">
        <v>1</v>
      </c>
      <c r="B5">
        <v>1</v>
      </c>
    </row>
    <row r="6" spans="1:2" x14ac:dyDescent="0.3">
      <c r="A6" t="s">
        <v>85</v>
      </c>
      <c r="B6">
        <v>3.6999999999999998E-2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3.6999999999999998E-2</v>
      </c>
    </row>
    <row r="10" spans="1:2" x14ac:dyDescent="0.3">
      <c r="A10" t="s">
        <v>13</v>
      </c>
      <c r="B10">
        <v>4.9943550505527394</v>
      </c>
    </row>
    <row r="11" spans="1:2" x14ac:dyDescent="0.3">
      <c r="A11" t="s">
        <v>61</v>
      </c>
      <c r="B11">
        <v>29.947459879741622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F3E9B-D456-4C14-81A7-1D8D56BF68FC}">
  <sheetPr codeName="Feuil20"/>
  <dimension ref="A1:B11"/>
  <sheetViews>
    <sheetView workbookViewId="0"/>
  </sheetViews>
  <sheetFormatPr baseColWidth="10" defaultRowHeight="14.4" x14ac:dyDescent="0.3"/>
  <sheetData>
    <row r="1" spans="1:2" x14ac:dyDescent="0.3">
      <c r="A1" t="s">
        <v>83</v>
      </c>
      <c r="B1" t="s">
        <v>36</v>
      </c>
    </row>
    <row r="2" spans="1:2" x14ac:dyDescent="0.3">
      <c r="A2" t="s">
        <v>6</v>
      </c>
      <c r="B2">
        <v>100</v>
      </c>
    </row>
    <row r="3" spans="1:2" x14ac:dyDescent="0.3">
      <c r="A3" t="s">
        <v>39</v>
      </c>
      <c r="B3">
        <v>4.1000000000000002E-2</v>
      </c>
    </row>
    <row r="4" spans="1:2" x14ac:dyDescent="0.3">
      <c r="A4" t="s">
        <v>84</v>
      </c>
      <c r="B4">
        <v>6</v>
      </c>
    </row>
    <row r="5" spans="1:2" x14ac:dyDescent="0.3">
      <c r="A5" t="s">
        <v>1</v>
      </c>
      <c r="B5">
        <v>2</v>
      </c>
    </row>
    <row r="6" spans="1:2" x14ac:dyDescent="0.3">
      <c r="A6" t="s">
        <v>85</v>
      </c>
      <c r="B6">
        <v>4.2000000000000003E-2</v>
      </c>
    </row>
    <row r="8" spans="1:2" x14ac:dyDescent="0.3">
      <c r="A8" t="s">
        <v>86</v>
      </c>
      <c r="B8">
        <v>99.994008181980078</v>
      </c>
    </row>
    <row r="9" spans="1:2" x14ac:dyDescent="0.3">
      <c r="A9" t="s">
        <v>10</v>
      </c>
      <c r="B9">
        <v>4.2000000000000003E-2</v>
      </c>
    </row>
    <row r="10" spans="1:2" x14ac:dyDescent="0.3">
      <c r="A10" t="s">
        <v>13</v>
      </c>
      <c r="B10">
        <v>6.4906493139726367</v>
      </c>
    </row>
    <row r="11" spans="1:2" x14ac:dyDescent="0.3">
      <c r="A11" t="s">
        <v>61</v>
      </c>
      <c r="B11">
        <v>45.40638309330884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15</vt:i4>
      </vt:variant>
    </vt:vector>
  </HeadingPairs>
  <TitlesOfParts>
    <vt:vector size="35" baseType="lpstr">
      <vt:lpstr>Interface_Obligation</vt:lpstr>
      <vt:lpstr>Univers</vt:lpstr>
      <vt:lpstr>Dashboard_Obligation</vt:lpstr>
      <vt:lpstr>Portefeuille_Flux</vt:lpstr>
      <vt:lpstr>Piliers</vt:lpstr>
      <vt:lpstr>Rapport_FRCASA010233</vt:lpstr>
      <vt:lpstr>Rapport_BNPBOND010524</vt:lpstr>
      <vt:lpstr>Rapport_SOCGENBOND050627</vt:lpstr>
      <vt:lpstr>Rapport_CREDITAGR050826</vt:lpstr>
      <vt:lpstr>Rapport_RATP050430</vt:lpstr>
      <vt:lpstr>Rapport_EDF050527</vt:lpstr>
      <vt:lpstr>Rapport_AIRFRANCE050630</vt:lpstr>
      <vt:lpstr>Rapport_TOTAL050528</vt:lpstr>
      <vt:lpstr>Rapport_ORANGE050529</vt:lpstr>
      <vt:lpstr>Rapport_SNCF050532</vt:lpstr>
      <vt:lpstr>Rapport_AXABOND050631</vt:lpstr>
      <vt:lpstr>Rapport_SOCIETEGEN050623</vt:lpstr>
      <vt:lpstr>Rapport_ENGIE050634</vt:lpstr>
      <vt:lpstr>Rapport_CREDITLYON050635</vt:lpstr>
      <vt:lpstr>Rapport_BNPBOND050636</vt:lpstr>
      <vt:lpstr>Convexite</vt:lpstr>
      <vt:lpstr>ConvexiteV2</vt:lpstr>
      <vt:lpstr>Coupon</vt:lpstr>
      <vt:lpstr>Duration</vt:lpstr>
      <vt:lpstr>DurationV2</vt:lpstr>
      <vt:lpstr>Frequence</vt:lpstr>
      <vt:lpstr>Maturite</vt:lpstr>
      <vt:lpstr>Nominal</vt:lpstr>
      <vt:lpstr>NomObligation</vt:lpstr>
      <vt:lpstr>PrixOblig</vt:lpstr>
      <vt:lpstr>PrixObligV2</vt:lpstr>
      <vt:lpstr>TauxMarche</vt:lpstr>
      <vt:lpstr>YTM</vt:lpstr>
      <vt:lpstr>YTMV2</vt:lpstr>
      <vt:lpstr>ZoneFlux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Dabout</dc:creator>
  <cp:lastModifiedBy>Matteo Dabout</cp:lastModifiedBy>
  <dcterms:created xsi:type="dcterms:W3CDTF">2025-11-14T07:43:27Z</dcterms:created>
  <dcterms:modified xsi:type="dcterms:W3CDTF">2025-11-20T10:08:32Z</dcterms:modified>
</cp:coreProperties>
</file>